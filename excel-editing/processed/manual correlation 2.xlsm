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hidePivotFieldList="1"/>
  <mc:AlternateContent xmlns:mc="http://schemas.openxmlformats.org/markup-compatibility/2006">
    <mc:Choice Requires="x15">
      <x15ac:absPath xmlns:x15ac="http://schemas.microsoft.com/office/spreadsheetml/2010/11/ac" url="/Users/katebanner/Optiver-Challenge/excel-editing/processed/"/>
    </mc:Choice>
  </mc:AlternateContent>
  <xr:revisionPtr revIDLastSave="0" documentId="13_ncr:1_{A9047BA9-2AB5-0040-92CC-7D39AEFC592E}" xr6:coauthVersionLast="47" xr6:coauthVersionMax="47" xr10:uidLastSave="{00000000-0000-0000-0000-000000000000}"/>
  <bookViews>
    <workbookView xWindow="0" yWindow="0" windowWidth="28800" windowHeight="18000" activeTab="9" xr2:uid="{00000000-000D-0000-FFFF-FFFF00000000}"/>
  </bookViews>
  <sheets>
    <sheet name="raw data" sheetId="1" r:id="rId1"/>
    <sheet name="correlation matrix" sheetId="2" r:id="rId2"/>
    <sheet name="filled cm" sheetId="16" r:id="rId3"/>
    <sheet name="heatmap" sheetId="3" r:id="rId4"/>
    <sheet name="unique correlations" sheetId="10" r:id="rId5"/>
    <sheet name="pt heatmap" sheetId="15" r:id="rId6"/>
    <sheet name="Chart3" sheetId="21" r:id="rId7"/>
    <sheet name="for chart3" sheetId="17" r:id="rId8"/>
    <sheet name="XLOOKUP" sheetId="23" r:id="rId9"/>
    <sheet name="Sheet16" sheetId="25" r:id="rId10"/>
  </sheets>
  <definedNames>
    <definedName name="_xlnm._FilterDatabase" localSheetId="7" hidden="1">'for chart3'!$A$1:$E$172</definedName>
    <definedName name="_xlnm._FilterDatabase" localSheetId="9" hidden="1">Sheet16!$A$22:$J$29</definedName>
    <definedName name="_xlnm._FilterDatabase" localSheetId="4" hidden="1">'unique correlations'!$C$2:$C$378</definedName>
    <definedName name="ExternalData_2" localSheetId="4" hidden="1">'unique correlations'!$A$1:$C$378</definedName>
    <definedName name="Slicer_Variable_1">#N/A</definedName>
    <definedName name="Slicer_Variable_2">#N/A</definedName>
  </definedNames>
  <calcPr calcId="191029"/>
  <pivotCaches>
    <pivotCache cacheId="12"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 i="25" l="1"/>
  <c r="B23" i="25"/>
  <c r="B25" i="25"/>
  <c r="B28" i="25"/>
  <c r="B29" i="25"/>
  <c r="B26" i="25"/>
  <c r="B27" i="25"/>
  <c r="C23" i="25"/>
  <c r="C25" i="25"/>
  <c r="C28" i="25"/>
  <c r="C29" i="25"/>
  <c r="C26" i="25"/>
  <c r="C27" i="25"/>
  <c r="D23" i="25"/>
  <c r="E23" i="25"/>
  <c r="F23" i="25"/>
  <c r="G23" i="25"/>
  <c r="H23" i="25"/>
  <c r="D25" i="25"/>
  <c r="E25" i="25"/>
  <c r="F25" i="25"/>
  <c r="G25" i="25"/>
  <c r="H25" i="25"/>
  <c r="D28" i="25"/>
  <c r="E28" i="25"/>
  <c r="F28" i="25"/>
  <c r="G28" i="25"/>
  <c r="H28" i="25"/>
  <c r="D29" i="25"/>
  <c r="E29" i="25"/>
  <c r="F29" i="25"/>
  <c r="G29" i="25"/>
  <c r="H29" i="25"/>
  <c r="D26" i="25"/>
  <c r="E26" i="25"/>
  <c r="F26" i="25"/>
  <c r="G26" i="25"/>
  <c r="H26" i="25"/>
  <c r="D27" i="25"/>
  <c r="E27" i="25"/>
  <c r="F27" i="25"/>
  <c r="G27" i="25"/>
  <c r="H27" i="25"/>
  <c r="D24" i="25"/>
  <c r="E24" i="25"/>
  <c r="F24" i="25"/>
  <c r="G24" i="25"/>
  <c r="H24" i="25"/>
  <c r="B24" i="25"/>
  <c r="G2" i="23"/>
  <c r="E4" i="17"/>
  <c r="E5" i="17"/>
  <c r="E6" i="17" s="1"/>
  <c r="E7" i="17" s="1"/>
  <c r="E8" i="17" s="1"/>
  <c r="E9" i="17" s="1"/>
  <c r="E10" i="17" s="1"/>
  <c r="E11" i="17" s="1"/>
  <c r="E12" i="17" s="1"/>
  <c r="E13" i="17" s="1"/>
  <c r="E14" i="17" s="1"/>
  <c r="E15" i="17" s="1"/>
  <c r="E16" i="17" s="1"/>
  <c r="E17" i="17" s="1"/>
  <c r="E18" i="17" s="1"/>
  <c r="E19" i="17" s="1"/>
  <c r="E20" i="17" s="1"/>
  <c r="E21" i="17" s="1"/>
  <c r="E22" i="17" s="1"/>
  <c r="E23" i="17" s="1"/>
  <c r="E24" i="17" s="1"/>
  <c r="E25" i="17" s="1"/>
  <c r="E26" i="17" s="1"/>
  <c r="E27" i="17" s="1"/>
  <c r="E28" i="17" s="1"/>
  <c r="E29" i="17" s="1"/>
  <c r="E30" i="17" s="1"/>
  <c r="E31" i="17" s="1"/>
  <c r="E32" i="17" s="1"/>
  <c r="E33" i="17" s="1"/>
  <c r="E34" i="17" s="1"/>
  <c r="E35" i="17" s="1"/>
  <c r="E36" i="17" s="1"/>
  <c r="E37" i="17" s="1"/>
  <c r="E38" i="17" s="1"/>
  <c r="E39" i="17" s="1"/>
  <c r="E40" i="17" s="1"/>
  <c r="E41" i="17" s="1"/>
  <c r="E42" i="17" s="1"/>
  <c r="E43" i="17" s="1"/>
  <c r="E44" i="17" s="1"/>
  <c r="E45" i="17" s="1"/>
  <c r="E46" i="17" s="1"/>
  <c r="E47" i="17" s="1"/>
  <c r="E48" i="17" s="1"/>
  <c r="E49" i="17" s="1"/>
  <c r="E50" i="17" s="1"/>
  <c r="E51" i="17" s="1"/>
  <c r="E52" i="17" s="1"/>
  <c r="E53" i="17" s="1"/>
  <c r="E54" i="17" s="1"/>
  <c r="E55" i="17" s="1"/>
  <c r="E56" i="17" s="1"/>
  <c r="E57" i="17" s="1"/>
  <c r="E58" i="17" s="1"/>
  <c r="E59" i="17" s="1"/>
  <c r="E60" i="17" s="1"/>
  <c r="E61" i="17" s="1"/>
  <c r="E62" i="17" s="1"/>
  <c r="E63" i="17" s="1"/>
  <c r="E64" i="17" s="1"/>
  <c r="E65" i="17" s="1"/>
  <c r="E66" i="17" s="1"/>
  <c r="E67" i="17" s="1"/>
  <c r="E68" i="17" s="1"/>
  <c r="E69" i="17" s="1"/>
  <c r="E70" i="17" s="1"/>
  <c r="E71" i="17" s="1"/>
  <c r="E72" i="17" s="1"/>
  <c r="E73" i="17" s="1"/>
  <c r="E74" i="17" s="1"/>
  <c r="E75" i="17" s="1"/>
  <c r="E76" i="17" s="1"/>
  <c r="E77" i="17" s="1"/>
  <c r="E78" i="17" s="1"/>
  <c r="E79" i="17" s="1"/>
  <c r="E80" i="17" s="1"/>
  <c r="E81" i="17" s="1"/>
  <c r="E82" i="17" s="1"/>
  <c r="E83" i="17" s="1"/>
  <c r="E84" i="17" s="1"/>
  <c r="E85" i="17" s="1"/>
  <c r="E86" i="17" s="1"/>
  <c r="E87" i="17" s="1"/>
  <c r="E88" i="17" s="1"/>
  <c r="E89" i="17" s="1"/>
  <c r="E90" i="17" s="1"/>
  <c r="E91" i="17" s="1"/>
  <c r="E92" i="17" s="1"/>
  <c r="E93" i="17" s="1"/>
  <c r="E94" i="17" s="1"/>
  <c r="E95" i="17" s="1"/>
  <c r="E96" i="17" s="1"/>
  <c r="E97" i="17" s="1"/>
  <c r="E98" i="17" s="1"/>
  <c r="E99" i="17" s="1"/>
  <c r="E100" i="17" s="1"/>
  <c r="E101" i="17" s="1"/>
  <c r="E102" i="17" s="1"/>
  <c r="E103" i="17" s="1"/>
  <c r="E104" i="17" s="1"/>
  <c r="E105" i="17" s="1"/>
  <c r="E106" i="17" s="1"/>
  <c r="E107" i="17" s="1"/>
  <c r="E108" i="17" s="1"/>
  <c r="E109" i="17" s="1"/>
  <c r="E110" i="17" s="1"/>
  <c r="E111" i="17" s="1"/>
  <c r="E112" i="17" s="1"/>
  <c r="E113" i="17" s="1"/>
  <c r="E114" i="17" s="1"/>
  <c r="E115" i="17" s="1"/>
  <c r="E116" i="17" s="1"/>
  <c r="E117" i="17" s="1"/>
  <c r="E118" i="17" s="1"/>
  <c r="E119" i="17" s="1"/>
  <c r="E120" i="17" s="1"/>
  <c r="E121" i="17" s="1"/>
  <c r="E122" i="17" s="1"/>
  <c r="E123" i="17" s="1"/>
  <c r="E124" i="17" s="1"/>
  <c r="E125" i="17" s="1"/>
  <c r="E126" i="17" s="1"/>
  <c r="E127" i="17" s="1"/>
  <c r="E128" i="17" s="1"/>
  <c r="E129" i="17" s="1"/>
  <c r="E130" i="17" s="1"/>
  <c r="E131" i="17" s="1"/>
  <c r="E132" i="17" s="1"/>
  <c r="E133" i="17" s="1"/>
  <c r="E134" i="17" s="1"/>
  <c r="E135" i="17" s="1"/>
  <c r="E136" i="17" s="1"/>
  <c r="E137" i="17" s="1"/>
  <c r="E138" i="17" s="1"/>
  <c r="E139" i="17" s="1"/>
  <c r="E140" i="17" s="1"/>
  <c r="E141" i="17" s="1"/>
  <c r="E142" i="17" s="1"/>
  <c r="E143" i="17" s="1"/>
  <c r="E144" i="17" s="1"/>
  <c r="E145" i="17" s="1"/>
  <c r="E146" i="17" s="1"/>
  <c r="E147" i="17" s="1"/>
  <c r="E148" i="17" s="1"/>
  <c r="E149" i="17" s="1"/>
  <c r="E150" i="17" s="1"/>
  <c r="E151" i="17" s="1"/>
  <c r="E152" i="17" s="1"/>
  <c r="E153" i="17" s="1"/>
  <c r="E154" i="17" s="1"/>
  <c r="E155" i="17" s="1"/>
  <c r="E156" i="17" s="1"/>
  <c r="E157" i="17" s="1"/>
  <c r="E158" i="17" s="1"/>
  <c r="E159" i="17" s="1"/>
  <c r="E160" i="17" s="1"/>
  <c r="E161" i="17" s="1"/>
  <c r="E162" i="17" s="1"/>
  <c r="E163" i="17" s="1"/>
  <c r="E164" i="17" s="1"/>
  <c r="E165" i="17" s="1"/>
  <c r="E166" i="17" s="1"/>
  <c r="E167" i="17" s="1"/>
  <c r="E168" i="17" s="1"/>
  <c r="E169" i="17" s="1"/>
  <c r="E170" i="17" s="1"/>
  <c r="E171" i="17" s="1"/>
  <c r="E172" i="17" s="1"/>
  <c r="E3" i="17"/>
  <c r="E2" i="17"/>
  <c r="D49" i="17"/>
  <c r="D33" i="17"/>
  <c r="D47" i="17"/>
  <c r="D87" i="17"/>
  <c r="D52" i="17"/>
  <c r="D94" i="17"/>
  <c r="D82" i="17"/>
  <c r="D68" i="17"/>
  <c r="D84" i="17"/>
  <c r="D51" i="17"/>
  <c r="D48" i="17"/>
  <c r="D153" i="17"/>
  <c r="D169" i="17"/>
  <c r="D58" i="17"/>
  <c r="D78" i="17"/>
  <c r="D72" i="17"/>
  <c r="D13" i="17"/>
  <c r="D29" i="17"/>
  <c r="D12" i="17"/>
  <c r="D131" i="17"/>
  <c r="D21" i="17"/>
  <c r="D112" i="17"/>
  <c r="D89" i="17"/>
  <c r="D54" i="17"/>
  <c r="D32" i="17"/>
  <c r="D26" i="17"/>
  <c r="D27" i="17"/>
  <c r="D154" i="17"/>
  <c r="D149" i="17"/>
  <c r="D86" i="17"/>
  <c r="D116" i="17"/>
  <c r="D74" i="17"/>
  <c r="D45" i="17"/>
  <c r="D70" i="17"/>
  <c r="D125" i="17"/>
  <c r="D79" i="17"/>
  <c r="D67" i="17"/>
  <c r="D61" i="17"/>
  <c r="D53" i="17"/>
  <c r="D107" i="17"/>
  <c r="D81" i="17"/>
  <c r="D75" i="17"/>
  <c r="D145" i="17"/>
  <c r="D172" i="17"/>
  <c r="D43" i="17"/>
  <c r="D57" i="17"/>
  <c r="D16" i="17"/>
  <c r="D2" i="17"/>
  <c r="D121" i="17"/>
  <c r="D3" i="17"/>
  <c r="D111" i="17"/>
  <c r="D99" i="17"/>
  <c r="D62" i="17"/>
  <c r="D19" i="17"/>
  <c r="D9" i="17"/>
  <c r="D7" i="17"/>
  <c r="D161" i="17"/>
  <c r="D146" i="17"/>
  <c r="D85" i="17"/>
  <c r="D113" i="17"/>
  <c r="D17" i="17"/>
  <c r="D91" i="17"/>
  <c r="D20" i="17"/>
  <c r="D105" i="17"/>
  <c r="D97" i="17"/>
  <c r="D63" i="17"/>
  <c r="D36" i="17"/>
  <c r="D23" i="17"/>
  <c r="D24" i="17"/>
  <c r="D160" i="17"/>
  <c r="D158" i="17"/>
  <c r="D69" i="17"/>
  <c r="D93" i="17"/>
  <c r="D126" i="17"/>
  <c r="D5" i="17"/>
  <c r="D109" i="17"/>
  <c r="D98" i="17"/>
  <c r="D59" i="17"/>
  <c r="D22" i="17"/>
  <c r="D11" i="17"/>
  <c r="D10" i="17"/>
  <c r="D159" i="17"/>
  <c r="D150" i="17"/>
  <c r="D88" i="17"/>
  <c r="D120" i="17"/>
  <c r="D108" i="17"/>
  <c r="D147" i="17"/>
  <c r="D152" i="17"/>
  <c r="D148" i="17"/>
  <c r="D130" i="17"/>
  <c r="D102" i="17"/>
  <c r="D104" i="17"/>
  <c r="D171" i="17"/>
  <c r="D137" i="17"/>
  <c r="D133" i="17"/>
  <c r="D135" i="17"/>
  <c r="D122" i="17"/>
  <c r="D110" i="17"/>
  <c r="D73" i="17"/>
  <c r="D15" i="17"/>
  <c r="D6" i="17"/>
  <c r="D4" i="17"/>
  <c r="D164" i="17"/>
  <c r="D142" i="17"/>
  <c r="D96" i="17"/>
  <c r="D123" i="17"/>
  <c r="D30" i="17"/>
  <c r="D31" i="17"/>
  <c r="D129" i="17"/>
  <c r="D124" i="17"/>
  <c r="D118" i="17"/>
  <c r="D134" i="17"/>
  <c r="D166" i="17"/>
  <c r="D37" i="17"/>
  <c r="D41" i="17"/>
  <c r="D25" i="17"/>
  <c r="D127" i="17"/>
  <c r="D114" i="17"/>
  <c r="D106" i="17"/>
  <c r="D132" i="17"/>
  <c r="D165" i="17"/>
  <c r="D40" i="17"/>
  <c r="D42" i="17"/>
  <c r="D83" i="17"/>
  <c r="D76" i="17"/>
  <c r="D71" i="17"/>
  <c r="D138" i="17"/>
  <c r="D162" i="17"/>
  <c r="D35" i="17"/>
  <c r="D44" i="17"/>
  <c r="D28" i="17"/>
  <c r="D18" i="17"/>
  <c r="D157" i="17"/>
  <c r="D139" i="17"/>
  <c r="D128" i="17"/>
  <c r="D136" i="17"/>
  <c r="D8" i="17"/>
  <c r="D170" i="17"/>
  <c r="D141" i="17"/>
  <c r="D95" i="17"/>
  <c r="D119" i="17"/>
  <c r="D168" i="17"/>
  <c r="D144" i="17"/>
  <c r="D90" i="17"/>
  <c r="D117" i="17"/>
  <c r="D155" i="17"/>
  <c r="D143" i="17"/>
  <c r="D140" i="17"/>
  <c r="D167" i="17"/>
  <c r="D163" i="17"/>
  <c r="D14" i="17"/>
  <c r="D55" i="17"/>
  <c r="D46" i="17"/>
  <c r="D60" i="17"/>
  <c r="D39" i="17"/>
  <c r="D56" i="17"/>
  <c r="D115" i="17"/>
  <c r="D64" i="17"/>
  <c r="D103" i="17"/>
  <c r="D101" i="17"/>
  <c r="D77" i="17"/>
  <c r="D92" i="17"/>
  <c r="D65" i="17"/>
  <c r="D66" i="17"/>
  <c r="D151" i="17"/>
  <c r="D156" i="17"/>
  <c r="D80" i="17"/>
  <c r="D100" i="17"/>
  <c r="D50" i="17"/>
  <c r="D34" i="17"/>
  <c r="D38" i="17"/>
  <c r="I25" i="25" l="1"/>
  <c r="I24" i="25"/>
  <c r="I27" i="25"/>
  <c r="I29" i="25"/>
  <c r="I28" i="25"/>
  <c r="I26" i="25"/>
  <c r="I23" i="25"/>
  <c r="J28" i="25" l="1"/>
  <c r="J29" i="25"/>
  <c r="J26" i="25"/>
  <c r="J27" i="25"/>
  <c r="J24" i="25"/>
  <c r="J23" i="25"/>
  <c r="J25"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723584-EBB3-4F46-B924-34B40CAD0CB1}" keepAlive="1" name="Query - Query" description="Connection to the 'Query' query in the workbook." type="5" refreshedVersion="8" background="1" saveData="1">
    <dbPr connection="Provider=Microsoft.Mashup.OleDb.1;Data Source=$Workbook$;Location=Query;Extended Properties=&quot;&quot;" command="SELECT * FROM [Query]"/>
  </connection>
  <connection id="2" xr16:uid="{B61CE56D-82CD-BE49-BB02-8F530FC1C571}" keepAlive="1" name="Query - Query (2)" description="Connection to the 'Query (2)' query in the workbook." type="5" refreshedVersion="8" background="1" saveData="1">
    <dbPr connection="Provider=Microsoft.Mashup.OleDb.1;Data Source=$Workbook$;Location=&quot;Query (2)&quot;;Extended Properties=&quot;&quot;" command="SELECT * FROM [Query (2)]"/>
  </connection>
</connections>
</file>

<file path=xl/sharedStrings.xml><?xml version="1.0" encoding="utf-8"?>
<sst xmlns="http://schemas.openxmlformats.org/spreadsheetml/2006/main" count="1819" uniqueCount="207">
  <si>
    <t>date</t>
  </si>
  <si>
    <t>Average_Price_Chicken_Breast_Boneless_Cost_per_Pound4536_Grams_in_US_City_Average</t>
  </si>
  <si>
    <t>Average_Price_Chicken_Fresh_Whole_Cost_per_Pound4536_Grams_in_US_City_Average</t>
  </si>
  <si>
    <t>Average_Price_Eggs_Grade_A_Large_Cost_per_Dozen_in_US_City_Average</t>
  </si>
  <si>
    <t>Average_Price_Milk_Fresh_Whole_Fortified_Cost_per_Gallon38_Liters_in_US_City_Average</t>
  </si>
  <si>
    <t>Consumer_Price_Index_for_All_Urban_Consumers_All_Items_in_US_City_Average</t>
  </si>
  <si>
    <t>Consumer_Price_Index_for_All_Urban_Consumers_Energy_Services_in_US_City_Average</t>
  </si>
  <si>
    <t>Consumer_Price_Index_for_All_Urban_Consumers_Food_in_US_City_Average</t>
  </si>
  <si>
    <t>Federal_Funds_Effective_Rate</t>
  </si>
  <si>
    <t>Personal_Consumption_Expenditures</t>
  </si>
  <si>
    <t>Producer_Price_Index_by_Commodity_Farm_Products_Corn</t>
  </si>
  <si>
    <t>Producer_Price_Index_by_Commodity_Farm_Products_Soybeans</t>
  </si>
  <si>
    <t>Producer_Price_Index_by_Commodity_Processed_Foods_and_Feeds_Chicken_and_Turkey_Feed_Supplements__________Concentrates_and_Premixes</t>
  </si>
  <si>
    <t>Real_Disposable_Personal_Income</t>
  </si>
  <si>
    <t>Retail_Sales_Restaurants_and_Other_Eating_Places</t>
  </si>
  <si>
    <t>Retail_Sales_Retail_Trade_and_Food_Services</t>
  </si>
  <si>
    <t>Unemployment_Rate</t>
  </si>
  <si>
    <t>University_of_Michigan_Consumer_Sentiment</t>
  </si>
  <si>
    <t>US_Diesel_Sales_Price</t>
  </si>
  <si>
    <t>US_Regular_All_Formulations_Gas_Price</t>
  </si>
  <si>
    <t>Correlation</t>
  </si>
  <si>
    <t>Variable 2</t>
  </si>
  <si>
    <t>Variable 1</t>
  </si>
  <si>
    <t>Row Labels</t>
  </si>
  <si>
    <t>Column Labels</t>
  </si>
  <si>
    <t>Sum of Correlation</t>
  </si>
  <si>
    <t xml:space="preserve">Point Label </t>
  </si>
  <si>
    <t>number</t>
  </si>
  <si>
    <t>Correlation Pairs</t>
  </si>
  <si>
    <t>Consumer_Price_Index_for_All_Urban_Consumers_Food_in_US_City_Average - Consumer_Price_Index_for_All_Urban_Consumers_All_Items_in_US_City_Average</t>
  </si>
  <si>
    <t>Select a Correlation Pair</t>
  </si>
  <si>
    <t xml:space="preserve">Correlation Ouput </t>
  </si>
  <si>
    <t>Personal_Consumption_Expenditures - Consumer_Price_Index_for_All_Urban_Consumers_Food_in_US_City_Average</t>
  </si>
  <si>
    <t>Retail_Sales_Restaurants_and_Other_Eating_Places - Consumer_Price_Index_for_All_Urban_Consumers_Food_in_US_City_Average</t>
  </si>
  <si>
    <t>Personal_Consumption_Expenditures - Consumer_Price_Index_for_All_Urban_Consumers_All_Items_in_US_City_Average</t>
  </si>
  <si>
    <t>Retail_Sales_Retail_Trade_and_Food_Services - Personal_Consumption_Expenditures</t>
  </si>
  <si>
    <t>Retail_Sales_Restaurants_and_Other_Eating_Places - Personal_Consumption_Expenditures</t>
  </si>
  <si>
    <t>Retail_Sales_Retail_Trade_and_Food_Services - Consumer_Price_Index_for_All_Urban_Consumers_All_Items_in_US_City_Average</t>
  </si>
  <si>
    <t>Retail_Sales_Retail_Trade_and_Food_Services - Retail_Sales_Restaurants_and_Other_Eating_Places</t>
  </si>
  <si>
    <t>Retail_Sales_Restaurants_and_Other_Eating_Places - Consumer_Price_Index_for_All_Urban_Consumers_All_Items_in_US_City_Average</t>
  </si>
  <si>
    <t>Retail_Sales_Retail_Trade_and_Food_Services - Consumer_Price_Index_for_All_Urban_Consumers_Food_in_US_City_Average</t>
  </si>
  <si>
    <t>Consumer_Price_Index_for_All_Urban_Consumers_Food_in_US_City_Average - Average_Price_Chicken_Fresh_Whole_Cost_per_Pound4536_Grams_in_US_City_Average</t>
  </si>
  <si>
    <t>Consumer_Price_Index_for_All_Urban_Consumers_All_Items_in_US_City_Average - Average_Price_Chicken_Fresh_Whole_Cost_per_Pound4536_Grams_in_US_City_Average</t>
  </si>
  <si>
    <t>US_Regular_All_Formulations_Gas_Price - US_Diesel_Sales_Price</t>
  </si>
  <si>
    <t>Real_Disposable_Personal_Income - Personal_Consumption_Expenditures</t>
  </si>
  <si>
    <t>Consumer_Price_Index_for_All_Urban_Consumers_Energy_Services_in_US_City_Average - Consumer_Price_Index_for_All_Urban_Consumers_All_Items_in_US_City_Average</t>
  </si>
  <si>
    <t>Consumer_Price_Index_for_All_Urban_Consumers_Food_in_US_City_Average - Consumer_Price_Index_for_All_Urban_Consumers_Energy_Services_in_US_City_Average</t>
  </si>
  <si>
    <t>Retail_Sales_Retail_Trade_and_Food_Services - Real_Disposable_Personal_Income</t>
  </si>
  <si>
    <t>Real_Disposable_Personal_Income - Consumer_Price_Index_for_All_Urban_Consumers_All_Items_in_US_City_Average</t>
  </si>
  <si>
    <t>Personal_Consumption_Expenditures - Consumer_Price_Index_for_All_Urban_Consumers_Energy_Services_in_US_City_Average</t>
  </si>
  <si>
    <t>Personal_Consumption_Expenditures - Average_Price_Chicken_Fresh_Whole_Cost_per_Pound4536_Grams_in_US_City_Average</t>
  </si>
  <si>
    <t>Real_Disposable_Personal_Income - Consumer_Price_Index_for_All_Urban_Consumers_Food_in_US_City_Average</t>
  </si>
  <si>
    <t>Retail_Sales_Restaurants_and_Other_Eating_Places - Consumer_Price_Index_for_All_Urban_Consumers_Energy_Services_in_US_City_Average</t>
  </si>
  <si>
    <t>Retail_Sales_Retail_Trade_and_Food_Services - Consumer_Price_Index_for_All_Urban_Consumers_Energy_Services_in_US_City_Average</t>
  </si>
  <si>
    <t>Producer_Price_Index_by_Commodity_Processed_Foods_and_Feeds_Chicken_and_Turkey_Feed_Supplements__________Concentrates_and_Premixes - Producer_Price_Index_by_Commodity_Farm_Products_Soybeans</t>
  </si>
  <si>
    <t>Retail_Sales_Restaurants_and_Other_Eating_Places - Average_Price_Chicken_Fresh_Whole_Cost_per_Pound4536_Grams_in_US_City_Average</t>
  </si>
  <si>
    <t>Retail_Sales_Retail_Trade_and_Food_Services - Average_Price_Chicken_Fresh_Whole_Cost_per_Pound4536_Grams_in_US_City_Average</t>
  </si>
  <si>
    <t>Retail_Sales_Restaurants_and_Other_Eating_Places - Real_Disposable_Personal_Income</t>
  </si>
  <si>
    <t>Consumer_Price_Index_for_All_Urban_Consumers_Energy_Services_in_US_City_Average - Average_Price_Chicken_Fresh_Whole_Cost_per_Pound4536_Grams_in_US_City_Average</t>
  </si>
  <si>
    <t>Producer_Price_Index_by_Commodity_Farm_Products_Soybeans - Producer_Price_Index_by_Commodity_Farm_Products_Corn</t>
  </si>
  <si>
    <t>Producer_Price_Index_by_Commodity_Processed_Foods_and_Feeds_Chicken_and_Turkey_Feed_Supplements__________Concentrates_and_Premixes - Producer_Price_Index_by_Commodity_Farm_Products_Corn</t>
  </si>
  <si>
    <t>Real_Disposable_Personal_Income - Average_Price_Chicken_Fresh_Whole_Cost_per_Pound4536_Grams_in_US_City_Average</t>
  </si>
  <si>
    <t>Consumer_Price_Index_for_All_Urban_Consumers_Energy_Services_in_US_City_Average - Average_Price_Chicken_Breast_Boneless_Cost_per_Pound4536_Grams_in_US_City_Average</t>
  </si>
  <si>
    <t>Average_Price_Milk_Fresh_Whole_Fortified_Cost_per_Gallon38_Liters_in_US_City_Average - Average_Price_Chicken_Breast_Boneless_Cost_per_Pound4536_Grams_in_US_City_Average</t>
  </si>
  <si>
    <t>US_Diesel_Sales_Price - Producer_Price_Index_by_Commodity_Processed_Foods_and_Feeds_Chicken_and_Turkey_Feed_Supplements__________Concentrates_and_Premixes</t>
  </si>
  <si>
    <t>Real_Disposable_Personal_Income - Consumer_Price_Index_for_All_Urban_Consumers_Energy_Services_in_US_City_Average</t>
  </si>
  <si>
    <t>US_Diesel_Sales_Price - Producer_Price_Index_by_Commodity_Farm_Products_Corn</t>
  </si>
  <si>
    <t>Average_Price_Chicken_Breast_Boneless_Cost_per_Pound4536_Grams_in_US_City_Average - Average_Price_Eggs_Grade_A_Large_Cost_per_Dozen_in_US_City_Average</t>
  </si>
  <si>
    <t>Consumer_Price_Index_for_All_Urban_Consumers_Energy_Services_in_US_City_Average - Average_Price_Eggs_Grade_A_Large_Cost_per_Dozen_in_US_City_Average</t>
  </si>
  <si>
    <t>US_Diesel_Sales_Price - Producer_Price_Index_by_Commodity_Farm_Products_Soybeans</t>
  </si>
  <si>
    <t>US_Regular_All_Formulations_Gas_Price - Producer_Price_Index_by_Commodity_Farm_Products_Corn</t>
  </si>
  <si>
    <t>US_Regular_All_Formulations_Gas_Price - Producer_Price_Index_by_Commodity_Farm_Products_Soybeans</t>
  </si>
  <si>
    <t>US_Diesel_Sales_Price - Average_Price_Milk_Fresh_Whole_Fortified_Cost_per_Gallon38_Liters_in_US_City_Average</t>
  </si>
  <si>
    <t>US_Regular_All_Formulations_Gas_Price - Producer_Price_Index_by_Commodity_Processed_Foods_and_Feeds_Chicken_and_Turkey_Feed_Supplements__________Concentrates_and_Premixes</t>
  </si>
  <si>
    <t>Consumer_Price_Index_for_All_Urban_Consumers_Energy_Services_in_US_City_Average - Average_Price_Milk_Fresh_Whole_Fortified_Cost_per_Gallon38_Liters_in_US_City_Average</t>
  </si>
  <si>
    <t>Average_Price_Milk_Fresh_Whole_Fortified_Cost_per_Gallon38_Liters_in_US_City_Average - Average_Price_Eggs_Grade_A_Large_Cost_per_Dozen_in_US_City_Average</t>
  </si>
  <si>
    <t>Consumer_Price_Index_for_All_Urban_Consumers_Food_in_US_City_Average - Average_Price_Chicken_Breast_Boneless_Cost_per_Pound4536_Grams_in_US_City_Average</t>
  </si>
  <si>
    <t>Retail_Sales_Retail_Trade_and_Food_Services - Average_Price_Chicken_Breast_Boneless_Cost_per_Pound4536_Grams_in_US_City_Average</t>
  </si>
  <si>
    <t>Consumer_Price_Index_for_All_Urban_Consumers_All_Items_in_US_City_Average - Average_Price_Chicken_Breast_Boneless_Cost_per_Pound4536_Grams_in_US_City_Average</t>
  </si>
  <si>
    <t>Average_Price_Chicken_Fresh_Whole_Cost_per_Pound4536_Grams_in_US_City_Average - Average_Price_Chicken_Breast_Boneless_Cost_per_Pound4536_Grams_in_US_City_Average</t>
  </si>
  <si>
    <t>Retail_Sales_Restaurants_and_Other_Eating_Places - Average_Price_Chicken_Breast_Boneless_Cost_per_Pound4536_Grams_in_US_City_Average</t>
  </si>
  <si>
    <t>Personal_Consumption_Expenditures - Average_Price_Chicken_Breast_Boneless_Cost_per_Pound4536_Grams_in_US_City_Average</t>
  </si>
  <si>
    <t>Producer_Price_Index_by_Commodity_Processed_Foods_and_Feeds_Chicken_and_Turkey_Feed_Supplements__________Concentrates_and_Premixes - Average_Price_Milk_Fresh_Whole_Fortified_Cost_per_Gallon38_Liters_in_US_City_Average</t>
  </si>
  <si>
    <t>Producer_Price_Index_by_Commodity_Processed_Foods_and_Feeds_Chicken_and_Turkey_Feed_Supplements__________Concentrates_and_Premixes - Average_Price_Chicken_Fresh_Whole_Cost_per_Pound4536_Grams_in_US_City_Average</t>
  </si>
  <si>
    <t>Average_Price_Chicken_Fresh_Whole_Cost_per_Pound4536_Grams_in_US_City_Average - Average_Price_Eggs_Grade_A_Large_Cost_per_Dozen_in_US_City_Average</t>
  </si>
  <si>
    <t>Consumer_Price_Index_for_All_Urban_Consumers_Food_in_US_City_Average - Average_Price_Eggs_Grade_A_Large_Cost_per_Dozen_in_US_City_Average</t>
  </si>
  <si>
    <t>US_Regular_All_Formulations_Gas_Price - Average_Price_Milk_Fresh_Whole_Fortified_Cost_per_Gallon38_Liters_in_US_City_Average</t>
  </si>
  <si>
    <t>US_Diesel_Sales_Price - Average_Price_Chicken_Breast_Boneless_Cost_per_Pound4536_Grams_in_US_City_Average</t>
  </si>
  <si>
    <t>Producer_Price_Index_by_Commodity_Processed_Foods_and_Feeds_Chicken_and_Turkey_Feed_Supplements__________Concentrates_and_Premixes - Consumer_Price_Index_for_All_Urban_Consumers_Food_in_US_City_Average</t>
  </si>
  <si>
    <t>Consumer_Price_Index_for_All_Urban_Consumers_All_Items_in_US_City_Average - Average_Price_Eggs_Grade_A_Large_Cost_per_Dozen_in_US_City_Average</t>
  </si>
  <si>
    <t>Producer_Price_Index_by_Commodity_Farm_Products_Soybeans - Average_Price_Milk_Fresh_Whole_Fortified_Cost_per_Gallon38_Liters_in_US_City_Average</t>
  </si>
  <si>
    <t>Producer_Price_Index_by_Commodity_Processed_Foods_and_Feeds_Chicken_and_Turkey_Feed_Supplements__________Concentrates_and_Premixes - Consumer_Price_Index_for_All_Urban_Consumers_All_Items_in_US_City_Average</t>
  </si>
  <si>
    <t>Producer_Price_Index_by_Commodity_Processed_Foods_and_Feeds_Chicken_and_Turkey_Feed_Supplements__________Concentrates_and_Premixes - Consumer_Price_Index_for_All_Urban_Consumers_Energy_Services_in_US_City_Average</t>
  </si>
  <si>
    <t>Personal_Consumption_Expenditures - Average_Price_Eggs_Grade_A_Large_Cost_per_Dozen_in_US_City_Average</t>
  </si>
  <si>
    <t>Retail_Sales_Restaurants_and_Other_Eating_Places - Average_Price_Eggs_Grade_A_Large_Cost_per_Dozen_in_US_City_Average</t>
  </si>
  <si>
    <t>Retail_Sales_Retail_Trade_and_Food_Services - Average_Price_Eggs_Grade_A_Large_Cost_per_Dozen_in_US_City_Average</t>
  </si>
  <si>
    <t>Producer_Price_Index_by_Commodity_Farm_Products_Corn - Average_Price_Milk_Fresh_Whole_Fortified_Cost_per_Gallon38_Liters_in_US_City_Average</t>
  </si>
  <si>
    <t>Producer_Price_Index_by_Commodity_Processed_Foods_and_Feeds_Chicken_and_Turkey_Feed_Supplements__________Concentrates_and_Premixes - Average_Price_Chicken_Breast_Boneless_Cost_per_Pound4536_Grams_in_US_City_Average</t>
  </si>
  <si>
    <t>US_Diesel_Sales_Price - Consumer_Price_Index_for_All_Urban_Consumers_Energy_Services_in_US_City_Average</t>
  </si>
  <si>
    <t>Consumer_Price_Index_for_All_Urban_Consumers_Food_in_US_City_Average - Average_Price_Milk_Fresh_Whole_Fortified_Cost_per_Gallon38_Liters_in_US_City_Average</t>
  </si>
  <si>
    <t>Retail_Sales_Retail_Trade_and_Food_Services - Producer_Price_Index_by_Commodity_Processed_Foods_and_Feeds_Chicken_and_Turkey_Feed_Supplements__________Concentrates_and_Premixes</t>
  </si>
  <si>
    <t>Average_Price_Milk_Fresh_Whole_Fortified_Cost_per_Gallon38_Liters_in_US_City_Average - Average_Price_Chicken_Fresh_Whole_Cost_per_Pound4536_Grams_in_US_City_Average</t>
  </si>
  <si>
    <t>Producer_Price_Index_by_Commodity_Processed_Foods_and_Feeds_Chicken_and_Turkey_Feed_Supplements__________Concentrates_and_Premixes - Personal_Consumption_Expenditures</t>
  </si>
  <si>
    <t>Consumer_Price_Index_for_All_Urban_Consumers_All_Items_in_US_City_Average - Average_Price_Milk_Fresh_Whole_Fortified_Cost_per_Gallon38_Liters_in_US_City_Average</t>
  </si>
  <si>
    <t>Retail_Sales_Retail_Trade_and_Food_Services - Average_Price_Milk_Fresh_Whole_Fortified_Cost_per_Gallon38_Liters_in_US_City_Average</t>
  </si>
  <si>
    <t>Retail_Sales_Restaurants_and_Other_Eating_Places - Producer_Price_Index_by_Commodity_Processed_Foods_and_Feeds_Chicken_and_Turkey_Feed_Supplements__________Concentrates_and_Premixes</t>
  </si>
  <si>
    <t>Producer_Price_Index_by_Commodity_Processed_Foods_and_Feeds_Chicken_and_Turkey_Feed_Supplements__________Concentrates_and_Premixes - Average_Price_Eggs_Grade_A_Large_Cost_per_Dozen_in_US_City_Average</t>
  </si>
  <si>
    <t>US_Regular_All_Formulations_Gas_Price - Average_Price_Chicken_Breast_Boneless_Cost_per_Pound4536_Grams_in_US_City_Average</t>
  </si>
  <si>
    <t>Personal_Consumption_Expenditures - Average_Price_Milk_Fresh_Whole_Fortified_Cost_per_Gallon38_Liters_in_US_City_Average</t>
  </si>
  <si>
    <t>US_Diesel_Sales_Price - Average_Price_Eggs_Grade_A_Large_Cost_per_Dozen_in_US_City_Average</t>
  </si>
  <si>
    <t>Retail_Sales_Restaurants_and_Other_Eating_Places - Average_Price_Milk_Fresh_Whole_Fortified_Cost_per_Gallon38_Liters_in_US_City_Average</t>
  </si>
  <si>
    <t>Producer_Price_Index_by_Commodity_Farm_Products_Soybeans - Average_Price_Chicken_Breast_Boneless_Cost_per_Pound4536_Grams_in_US_City_Average</t>
  </si>
  <si>
    <t>Real_Disposable_Personal_Income - Producer_Price_Index_by_Commodity_Processed_Foods_and_Feeds_Chicken_and_Turkey_Feed_Supplements__________Concentrates_and_Premixes</t>
  </si>
  <si>
    <t>Real_Disposable_Personal_Income - Average_Price_Chicken_Breast_Boneless_Cost_per_Pound4536_Grams_in_US_City_Average</t>
  </si>
  <si>
    <t>US_Diesel_Sales_Price - Consumer_Price_Index_for_All_Urban_Consumers_All_Items_in_US_City_Average</t>
  </si>
  <si>
    <t>US_Diesel_Sales_Price - Average_Price_Chicken_Fresh_Whole_Cost_per_Pound4536_Grams_in_US_City_Average</t>
  </si>
  <si>
    <t>Federal_Funds_Effective_Rate - Average_Price_Chicken_Breast_Boneless_Cost_per_Pound4536_Grams_in_US_City_Average</t>
  </si>
  <si>
    <t>US_Diesel_Sales_Price - Consumer_Price_Index_for_All_Urban_Consumers_Food_in_US_City_Average</t>
  </si>
  <si>
    <t>Producer_Price_Index_by_Commodity_Farm_Products_Soybeans - Average_Price_Chicken_Fresh_Whole_Cost_per_Pound4536_Grams_in_US_City_Average</t>
  </si>
  <si>
    <t>US_Diesel_Sales_Price - Retail_Sales_Retail_Trade_and_Food_Services</t>
  </si>
  <si>
    <t>Federal_Funds_Effective_Rate - Consumer_Price_Index_for_All_Urban_Consumers_Energy_Services_in_US_City_Average</t>
  </si>
  <si>
    <t>Real_Disposable_Personal_Income - Average_Price_Eggs_Grade_A_Large_Cost_per_Dozen_in_US_City_Average</t>
  </si>
  <si>
    <t>US_Regular_All_Formulations_Gas_Price - Consumer_Price_Index_for_All_Urban_Consumers_Energy_Services_in_US_City_Average</t>
  </si>
  <si>
    <t>Producer_Price_Index_by_Commodity_Farm_Products_Corn - Average_Price_Chicken_Breast_Boneless_Cost_per_Pound4536_Grams_in_US_City_Average</t>
  </si>
  <si>
    <t>US_Diesel_Sales_Price - Retail_Sales_Restaurants_and_Other_Eating_Places</t>
  </si>
  <si>
    <t>US_Diesel_Sales_Price - Personal_Consumption_Expenditures</t>
  </si>
  <si>
    <t>Producer_Price_Index_by_Commodity_Farm_Products_Soybeans - Consumer_Price_Index_for_All_Urban_Consumers_Energy_Services_in_US_City_Average</t>
  </si>
  <si>
    <t>Producer_Price_Index_by_Commodity_Farm_Products_Soybeans - Consumer_Price_Index_for_All_Urban_Consumers_Food_in_US_City_Average</t>
  </si>
  <si>
    <t>Producer_Price_Index_by_Commodity_Farm_Products_Soybeans - Consumer_Price_Index_for_All_Urban_Consumers_All_Items_in_US_City_Average</t>
  </si>
  <si>
    <t>US_Regular_All_Formulations_Gas_Price - Average_Price_Eggs_Grade_A_Large_Cost_per_Dozen_in_US_City_Average</t>
  </si>
  <si>
    <t>Producer_Price_Index_by_Commodity_Farm_Products_Soybeans - Average_Price_Eggs_Grade_A_Large_Cost_per_Dozen_in_US_City_Average</t>
  </si>
  <si>
    <t>Retail_Sales_Restaurants_and_Other_Eating_Places - Federal_Funds_Effective_Rate</t>
  </si>
  <si>
    <t>Producer_Price_Index_by_Commodity_Farm_Products_Corn - Average_Price_Eggs_Grade_A_Large_Cost_per_Dozen_in_US_City_Average</t>
  </si>
  <si>
    <t>Retail_Sales_Retail_Trade_and_Food_Services - Federal_Funds_Effective_Rate</t>
  </si>
  <si>
    <t>Producer_Price_Index_by_Commodity_Farm_Products_Corn - Consumer_Price_Index_for_All_Urban_Consumers_Energy_Services_in_US_City_Average</t>
  </si>
  <si>
    <t>Retail_Sales_Retail_Trade_and_Food_Services - Producer_Price_Index_by_Commodity_Farm_Products_Soybeans</t>
  </si>
  <si>
    <t>Real_Disposable_Personal_Income - Average_Price_Milk_Fresh_Whole_Fortified_Cost_per_Gallon38_Liters_in_US_City_Average</t>
  </si>
  <si>
    <t>Personal_Consumption_Expenditures - Federal_Funds_Effective_Rate</t>
  </si>
  <si>
    <t>Producer_Price_Index_by_Commodity_Farm_Products_Corn - Consumer_Price_Index_for_All_Urban_Consumers_Food_in_US_City_Average</t>
  </si>
  <si>
    <t>Producer_Price_Index_by_Commodity_Farm_Products_Soybeans - Personal_Consumption_Expenditures</t>
  </si>
  <si>
    <t>Producer_Price_Index_by_Commodity_Farm_Products_Corn - Consumer_Price_Index_for_All_Urban_Consumers_All_Items_in_US_City_Average</t>
  </si>
  <si>
    <t>Producer_Price_Index_by_Commodity_Farm_Products_Corn - Average_Price_Chicken_Fresh_Whole_Cost_per_Pound4536_Grams_in_US_City_Average</t>
  </si>
  <si>
    <t>US_Regular_All_Formulations_Gas_Price - Consumer_Price_Index_for_All_Urban_Consumers_All_Items_in_US_City_Average</t>
  </si>
  <si>
    <t>Retail_Sales_Restaurants_and_Other_Eating_Places - Producer_Price_Index_by_Commodity_Farm_Products_Soybeans</t>
  </si>
  <si>
    <t>Federal_Funds_Effective_Rate - Average_Price_Eggs_Grade_A_Large_Cost_per_Dozen_in_US_City_Average</t>
  </si>
  <si>
    <t>US_Regular_All_Formulations_Gas_Price - Average_Price_Chicken_Fresh_Whole_Cost_per_Pound4536_Grams_in_US_City_Average</t>
  </si>
  <si>
    <t>US_Regular_All_Formulations_Gas_Price - Retail_Sales_Retail_Trade_and_Food_Services</t>
  </si>
  <si>
    <t>Retail_Sales_Retail_Trade_and_Food_Services - Producer_Price_Index_by_Commodity_Farm_Products_Corn</t>
  </si>
  <si>
    <t>US_Regular_All_Formulations_Gas_Price - Retail_Sales_Restaurants_and_Other_Eating_Places</t>
  </si>
  <si>
    <t>US_Regular_All_Formulations_Gas_Price - Consumer_Price_Index_for_All_Urban_Consumers_Food_in_US_City_Average</t>
  </si>
  <si>
    <t>Federal_Funds_Effective_Rate - Consumer_Price_Index_for_All_Urban_Consumers_All_Items_in_US_City_Average</t>
  </si>
  <si>
    <t>Producer_Price_Index_by_Commodity_Farm_Products_Corn - Personal_Consumption_Expenditures</t>
  </si>
  <si>
    <t>US_Regular_All_Formulations_Gas_Price - Personal_Consumption_Expenditures</t>
  </si>
  <si>
    <t>Retail_Sales_Restaurants_and_Other_Eating_Places - Producer_Price_Index_by_Commodity_Farm_Products_Corn</t>
  </si>
  <si>
    <t>Federal_Funds_Effective_Rate - Average_Price_Milk_Fresh_Whole_Fortified_Cost_per_Gallon38_Liters_in_US_City_Average</t>
  </si>
  <si>
    <t>Federal_Funds_Effective_Rate - Consumer_Price_Index_for_All_Urban_Consumers_Food_in_US_City_Average</t>
  </si>
  <si>
    <t>Real_Disposable_Personal_Income - Producer_Price_Index_by_Commodity_Farm_Products_Soybeans</t>
  </si>
  <si>
    <t>US_Diesel_Sales_Price - Real_Disposable_Personal_Income</t>
  </si>
  <si>
    <t>Real_Disposable_Personal_Income - Producer_Price_Index_by_Commodity_Farm_Products_Corn</t>
  </si>
  <si>
    <t>Real_Disposable_Personal_Income - Federal_Funds_Effective_Rate</t>
  </si>
  <si>
    <t>Federal_Funds_Effective_Rate - Average_Price_Chicken_Fresh_Whole_Cost_per_Pound4536_Grams_in_US_City_Average</t>
  </si>
  <si>
    <t>Unemployment_Rate - Producer_Price_Index_by_Commodity_Farm_Products_Soybeans</t>
  </si>
  <si>
    <t>US_Diesel_Sales_Price - Federal_Funds_Effective_Rate</t>
  </si>
  <si>
    <t>Unemployment_Rate - Producer_Price_Index_by_Commodity_Farm_Products_Corn</t>
  </si>
  <si>
    <t>US_Regular_All_Formulations_Gas_Price - Federal_Funds_Effective_Rate</t>
  </si>
  <si>
    <t>US_Regular_All_Formulations_Gas_Price - Real_Disposable_Personal_Income</t>
  </si>
  <si>
    <t>University_of_Michigan_Consumer_Sentiment - Federal_Funds_Effective_Rate</t>
  </si>
  <si>
    <t>Unemployment_Rate - Producer_Price_Index_by_Commodity_Processed_Foods_and_Feeds_Chicken_and_Turkey_Feed_Supplements__________Concentrates_and_Premixes</t>
  </si>
  <si>
    <t>University_of_Michigan_Consumer_Sentiment - Real_Disposable_Personal_Income</t>
  </si>
  <si>
    <t>US_Regular_All_Formulations_Gas_Price - Unemployment_Rate</t>
  </si>
  <si>
    <t>University_of_Michigan_Consumer_Sentiment - Retail_Sales_Restaurants_and_Other_Eating_Places</t>
  </si>
  <si>
    <t>University_of_Michigan_Consumer_Sentiment - Personal_Consumption_Expenditures</t>
  </si>
  <si>
    <t>US_Diesel_Sales_Price - Unemployment_Rate</t>
  </si>
  <si>
    <t>University_of_Michigan_Consumer_Sentiment - Retail_Sales_Retail_Trade_and_Food_Services</t>
  </si>
  <si>
    <t>Unemployment_Rate - Average_Price_Milk_Fresh_Whole_Fortified_Cost_per_Gallon38_Liters_in_US_City_Average</t>
  </si>
  <si>
    <t>University_of_Michigan_Consumer_Sentiment - Consumer_Price_Index_for_All_Urban_Consumers_All_Items_in_US_City_Average</t>
  </si>
  <si>
    <t>Producer_Price_Index_by_Commodity_Farm_Products_Corn - Federal_Funds_Effective_Rate</t>
  </si>
  <si>
    <t>Producer_Price_Index_by_Commodity_Processed_Foods_and_Feeds_Chicken_and_Turkey_Feed_Supplements__________Concentrates_and_Premixes - Federal_Funds_Effective_Rate</t>
  </si>
  <si>
    <t>University_of_Michigan_Consumer_Sentiment - Average_Price_Chicken_Fresh_Whole_Cost_per_Pound4536_Grams_in_US_City_Average</t>
  </si>
  <si>
    <t>University_of_Michigan_Consumer_Sentiment - Consumer_Price_Index_for_All_Urban_Consumers_Food_in_US_City_Average</t>
  </si>
  <si>
    <t>Unemployment_Rate - Average_Price_Eggs_Grade_A_Large_Cost_per_Dozen_in_US_City_Average</t>
  </si>
  <si>
    <t>Producer_Price_Index_by_Commodity_Farm_Products_Soybeans - Federal_Funds_Effective_Rate</t>
  </si>
  <si>
    <t>Unemployment_Rate - Average_Price_Chicken_Breast_Boneless_Cost_per_Pound4536_Grams_in_US_City_Average</t>
  </si>
  <si>
    <t>Unemployment_Rate - Average_Price_Chicken_Fresh_Whole_Cost_per_Pound4536_Grams_in_US_City_Average</t>
  </si>
  <si>
    <t>University_of_Michigan_Consumer_Sentiment - Unemployment_Rate</t>
  </si>
  <si>
    <t>University_of_Michigan_Consumer_Sentiment - Average_Price_Eggs_Grade_A_Large_Cost_per_Dozen_in_US_City_Average</t>
  </si>
  <si>
    <t>Unemployment_Rate - Real_Disposable_Personal_Income</t>
  </si>
  <si>
    <t>University_of_Michigan_Consumer_Sentiment - Consumer_Price_Index_for_All_Urban_Consumers_Energy_Services_in_US_City_Average</t>
  </si>
  <si>
    <t>Unemployment_Rate - Consumer_Price_Index_for_All_Urban_Consumers_Food_in_US_City_Average</t>
  </si>
  <si>
    <t>Unemployment_Rate - Consumer_Price_Index_for_All_Urban_Consumers_Energy_Services_in_US_City_Average</t>
  </si>
  <si>
    <t>Unemployment_Rate - Consumer_Price_Index_for_All_Urban_Consumers_All_Items_in_US_City_Average</t>
  </si>
  <si>
    <t>University_of_Michigan_Consumer_Sentiment - Producer_Price_Index_by_Commodity_Processed_Foods_and_Feeds_Chicken_and_Turkey_Feed_Supplements__________Concentrates_and_Premixes</t>
  </si>
  <si>
    <t>US_Regular_All_Formulations_Gas_Price - University_of_Michigan_Consumer_Sentiment</t>
  </si>
  <si>
    <t>Unemployment_Rate - Personal_Consumption_Expenditures</t>
  </si>
  <si>
    <t>University_of_Michigan_Consumer_Sentiment - Producer_Price_Index_by_Commodity_Farm_Products_Soybeans</t>
  </si>
  <si>
    <t>University_of_Michigan_Consumer_Sentiment - Producer_Price_Index_by_Commodity_Farm_Products_Corn</t>
  </si>
  <si>
    <t>US_Diesel_Sales_Price - University_of_Michigan_Consumer_Sentiment</t>
  </si>
  <si>
    <t>Unemployment_Rate - Retail_Sales_Retail_Trade_and_Food_Services</t>
  </si>
  <si>
    <t>University_of_Michigan_Consumer_Sentiment - Average_Price_Chicken_Breast_Boneless_Cost_per_Pound4536_Grams_in_US_City_Average</t>
  </si>
  <si>
    <t>Unemployment_Rate - Retail_Sales_Restaurants_and_Other_Eating_Places</t>
  </si>
  <si>
    <t>Unemployment_Rate - Federal_Funds_Effective_Rate</t>
  </si>
  <si>
    <t>University_of_Michigan_Consumer_Sentiment - Average_Price_Milk_Fresh_Whole_Fortified_Cost_per_Gallon38_Liters_in_US_City_Average</t>
  </si>
  <si>
    <t>Take Variables that are correlated &gt;0.6 with egg price</t>
  </si>
  <si>
    <t>Consumer_Price_Index_for_All_Urban_Consumers_Energy_Services_in_US_City_Average+B12:E12</t>
  </si>
  <si>
    <t>IF Statements, if correlation is above 0.95</t>
  </si>
  <si>
    <t>Sum of High Correlations</t>
  </si>
  <si>
    <t>Identify the Most Redundant Variable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</si>
</sst>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rgb="FF000000"/>
      <name val="Calibri"/>
      <family val="2"/>
      <scheme val="minor"/>
    </font>
    <font>
      <sz val="11"/>
      <color rgb="FF000000"/>
      <name val="Calibri"/>
      <family val="2"/>
    </font>
    <font>
      <i/>
      <sz val="11"/>
      <color rgb="FF000000"/>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sz val="10"/>
      <color rgb="FF000000"/>
      <name val="Arial Unicode MS"/>
      <family val="2"/>
    </font>
    <font>
      <sz val="11"/>
      <color theme="0"/>
      <name val="Calibri"/>
      <family val="2"/>
      <scheme val="minor"/>
    </font>
    <font>
      <sz val="10"/>
      <color theme="0"/>
      <name val="Arial Unicode MS"/>
      <family val="2"/>
    </font>
    <font>
      <sz val="11"/>
      <color theme="6"/>
      <name val="Calibri"/>
      <family val="2"/>
      <scheme val="minor"/>
    </font>
    <font>
      <b/>
      <sz val="11"/>
      <color rgb="FF000000"/>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theme="9"/>
        <bgColor theme="9"/>
      </patternFill>
    </fill>
    <fill>
      <patternFill patternType="solid">
        <fgColor theme="9" tint="0.79998168889431442"/>
        <bgColor theme="9" tint="0.79998168889431442"/>
      </patternFill>
    </fill>
    <fill>
      <patternFill patternType="solid">
        <fgColor theme="9"/>
        <bgColor indexed="64"/>
      </patternFill>
    </fill>
    <fill>
      <patternFill patternType="solid">
        <fgColor rgb="FFDCE6F1"/>
        <bgColor rgb="FFDCE6F1"/>
      </patternFill>
    </fill>
  </fills>
  <borders count="8">
    <border>
      <left/>
      <right/>
      <top/>
      <bottom/>
      <diagonal/>
    </border>
    <border>
      <left/>
      <right/>
      <top/>
      <bottom style="medium">
        <color indexed="64"/>
      </bottom>
      <diagonal/>
    </border>
    <border>
      <left/>
      <right/>
      <top style="medium">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bottom style="thin">
        <color theme="4" tint="0.39997558519241921"/>
      </bottom>
      <diagonal/>
    </border>
    <border>
      <left/>
      <right/>
      <top/>
      <bottom style="thin">
        <color rgb="FF95B3D7"/>
      </bottom>
      <diagonal/>
    </border>
  </borders>
  <cellStyleXfs count="1">
    <xf numFmtId="0" fontId="0" fillId="0" borderId="0"/>
  </cellStyleXfs>
  <cellXfs count="31">
    <xf numFmtId="0" fontId="0" fillId="0" borderId="0" xfId="0"/>
    <xf numFmtId="14" fontId="1" fillId="0" borderId="0" xfId="0" applyNumberFormat="1" applyFont="1"/>
    <xf numFmtId="0" fontId="0" fillId="0" borderId="1" xfId="0" applyBorder="1"/>
    <xf numFmtId="0" fontId="2" fillId="0" borderId="2" xfId="0" applyFont="1" applyBorder="1" applyAlignment="1">
      <alignment horizontal="center"/>
    </xf>
    <xf numFmtId="0" fontId="0" fillId="0" borderId="0" xfId="0" applyNumberFormat="1"/>
    <xf numFmtId="0" fontId="3" fillId="3" borderId="3" xfId="0" applyFont="1" applyFill="1" applyBorder="1"/>
    <xf numFmtId="0" fontId="3" fillId="3" borderId="4" xfId="0" applyFont="1" applyFill="1" applyBorder="1"/>
    <xf numFmtId="0" fontId="0" fillId="0" borderId="0" xfId="0" pivotButton="1"/>
    <xf numFmtId="0" fontId="0" fillId="0" borderId="0" xfId="0" applyAlignment="1">
      <alignment horizontal="left"/>
    </xf>
    <xf numFmtId="0" fontId="5" fillId="2" borderId="6" xfId="0" applyFont="1" applyFill="1" applyBorder="1"/>
    <xf numFmtId="2" fontId="0" fillId="0" borderId="0" xfId="0" applyNumberFormat="1"/>
    <xf numFmtId="0" fontId="3" fillId="3" borderId="5" xfId="0" applyNumberFormat="1" applyFont="1" applyFill="1" applyBorder="1"/>
    <xf numFmtId="0" fontId="4" fillId="4" borderId="3" xfId="0" applyNumberFormat="1" applyFont="1" applyFill="1" applyBorder="1"/>
    <xf numFmtId="0" fontId="4" fillId="4" borderId="4" xfId="0" applyNumberFormat="1" applyFont="1" applyFill="1" applyBorder="1"/>
    <xf numFmtId="2" fontId="4" fillId="4" borderId="5" xfId="0" applyNumberFormat="1" applyFont="1" applyFill="1" applyBorder="1"/>
    <xf numFmtId="0" fontId="4" fillId="0" borderId="3" xfId="0" applyNumberFormat="1" applyFont="1" applyBorder="1"/>
    <xf numFmtId="0" fontId="4" fillId="0" borderId="4" xfId="0" applyNumberFormat="1" applyFont="1" applyBorder="1"/>
    <xf numFmtId="2" fontId="4" fillId="0" borderId="5" xfId="0" applyNumberFormat="1" applyFont="1" applyBorder="1"/>
    <xf numFmtId="0" fontId="3" fillId="3" borderId="0" xfId="0" applyNumberFormat="1" applyFont="1" applyFill="1" applyBorder="1"/>
    <xf numFmtId="0" fontId="6" fillId="0" borderId="0" xfId="0" applyFont="1"/>
    <xf numFmtId="0" fontId="3" fillId="0" borderId="0" xfId="0" applyNumberFormat="1" applyFont="1" applyFill="1" applyBorder="1"/>
    <xf numFmtId="0" fontId="3" fillId="5" borderId="0" xfId="0" applyFont="1" applyFill="1"/>
    <xf numFmtId="0" fontId="3" fillId="5" borderId="0" xfId="0" applyNumberFormat="1" applyFont="1" applyFill="1" applyBorder="1"/>
    <xf numFmtId="0" fontId="8" fillId="0" borderId="0" xfId="0" applyFont="1"/>
    <xf numFmtId="0" fontId="7" fillId="0" borderId="0" xfId="0" applyFont="1"/>
    <xf numFmtId="0" fontId="9" fillId="0" borderId="0" xfId="0" applyNumberFormat="1" applyFont="1"/>
    <xf numFmtId="0" fontId="10" fillId="6" borderId="7" xfId="0" applyFont="1" applyFill="1" applyBorder="1"/>
    <xf numFmtId="0" fontId="0" fillId="0" borderId="0" xfId="0" applyAlignment="1">
      <alignment horizontal="right"/>
    </xf>
    <xf numFmtId="0" fontId="0" fillId="0" borderId="0" xfId="0" applyNumberFormat="1" applyAlignment="1">
      <alignment horizontal="right"/>
    </xf>
    <xf numFmtId="0" fontId="10" fillId="6" borderId="0" xfId="0" applyFont="1" applyFill="1" applyBorder="1"/>
    <xf numFmtId="1" fontId="0" fillId="0" borderId="0" xfId="0" applyNumberFormat="1" applyAlignment="1">
      <alignment horizontal="right"/>
    </xf>
  </cellXfs>
  <cellStyles count="1">
    <cellStyle name="Normal" xfId="0" builtinId="0"/>
  </cellStyles>
  <dxfs count="1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6"/>
      </font>
    </dxf>
    <dxf>
      <font>
        <color theme="6"/>
      </font>
    </dxf>
    <dxf>
      <font>
        <b val="0"/>
        <i val="0"/>
        <strike val="0"/>
        <condense val="0"/>
        <extend val="0"/>
        <outline val="0"/>
        <shadow val="0"/>
        <u val="none"/>
        <vertAlign val="baseline"/>
        <sz val="11"/>
        <color theme="1"/>
        <name val="Calibri"/>
        <family val="2"/>
        <scheme val="minor"/>
      </font>
      <numFmt numFmtId="2" formatCode="0.0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0"/>
        <color rgb="FF000000"/>
        <name val="Arial Unicode MS"/>
        <family val="2"/>
        <scheme val="none"/>
      </font>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border outline="0">
        <left style="thin">
          <color theme="9" tint="0.39997558519241921"/>
        </left>
      </border>
    </dxf>
    <dxf>
      <numFmt numFmtId="2" formatCode="0.00"/>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E36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microsoft.com/office/2007/relationships/slicerCache" Target="slicerCaches/slicerCache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chartsheet" Target="chartsheets/sheet1.xml"/><Relationship Id="rId12" Type="http://schemas.microsoft.com/office/2007/relationships/slicerCache" Target="slicerCaches/slicerCache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9.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1"/>
        <c:ser>
          <c:idx val="0"/>
          <c:order val="0"/>
          <c:tx>
            <c:strRef>
              <c:f>'for chart3'!$C$1</c:f>
              <c:strCache>
                <c:ptCount val="1"/>
                <c:pt idx="0">
                  <c:v>Correlation</c:v>
                </c:pt>
              </c:strCache>
            </c:strRef>
          </c:tx>
          <c:spPr>
            <a:ln w="25400">
              <a:noFill/>
            </a:ln>
          </c:spPr>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c:spPr>
          </c:marker>
          <c:dPt>
            <c:idx val="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bubble3D val="0"/>
            <c:spPr>
              <a:ln w="25400" cap="rnd">
                <a:noFill/>
                <a:round/>
              </a:ln>
              <a:effectLst/>
            </c:spPr>
          </c:dPt>
          <c:dPt>
            <c:idx val="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solidFill>
                </a:ln>
                <a:effectLst/>
              </c:spPr>
            </c:marker>
            <c:bubble3D val="0"/>
            <c:spPr>
              <a:ln w="25400" cap="rnd">
                <a:noFill/>
                <a:round/>
              </a:ln>
              <a:effectLst/>
            </c:spPr>
          </c:dPt>
          <c:dPt>
            <c:idx val="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solidFill>
                </a:ln>
                <a:effectLst/>
              </c:spPr>
            </c:marker>
            <c:bubble3D val="0"/>
            <c:spPr>
              <a:ln w="25400" cap="rnd">
                <a:noFill/>
                <a:round/>
              </a:ln>
              <a:effectLst/>
            </c:spPr>
          </c:dPt>
          <c:dPt>
            <c:idx val="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solidFill>
                </a:ln>
                <a:effectLst/>
              </c:spPr>
            </c:marker>
            <c:bubble3D val="0"/>
            <c:spPr>
              <a:ln w="25400" cap="rnd">
                <a:noFill/>
                <a:round/>
              </a:ln>
              <a:effectLst/>
            </c:spPr>
          </c:dPt>
          <c:dPt>
            <c:idx val="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solidFill>
                </a:ln>
                <a:effectLst/>
              </c:spPr>
            </c:marker>
            <c:bubble3D val="0"/>
            <c:spPr>
              <a:ln w="25400" cap="rnd">
                <a:noFill/>
                <a:round/>
              </a:ln>
              <a:effectLst/>
            </c:spPr>
          </c:dPt>
          <c:dPt>
            <c:idx val="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solidFill>
                </a:ln>
                <a:effectLst/>
              </c:spPr>
            </c:marker>
            <c:bubble3D val="0"/>
            <c:spPr>
              <a:ln w="25400" cap="rnd">
                <a:noFill/>
                <a:round/>
              </a:ln>
              <a:effectLst/>
            </c:spPr>
          </c:dPt>
          <c:dPt>
            <c:idx val="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schemeClr>
                  </a:solidFill>
                </a:ln>
                <a:effectLst/>
              </c:spPr>
            </c:marker>
            <c:bubble3D val="0"/>
            <c:spPr>
              <a:ln w="25400" cap="rnd">
                <a:noFill/>
                <a:round/>
              </a:ln>
              <a:effectLst/>
            </c:spPr>
          </c:dPt>
          <c:dPt>
            <c:idx val="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schemeClr>
                  </a:solidFill>
                </a:ln>
                <a:effectLst/>
              </c:spPr>
            </c:marker>
            <c:bubble3D val="0"/>
            <c:spPr>
              <a:ln w="25400" cap="rnd">
                <a:noFill/>
                <a:round/>
              </a:ln>
              <a:effectLst/>
            </c:spPr>
          </c:dPt>
          <c:dPt>
            <c:idx val="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schemeClr>
                  </a:solidFill>
                </a:ln>
                <a:effectLst/>
              </c:spPr>
            </c:marker>
            <c:bubble3D val="0"/>
            <c:spPr>
              <a:ln w="25400" cap="rnd">
                <a:noFill/>
                <a:round/>
              </a:ln>
              <a:effectLst/>
            </c:spPr>
          </c:dPt>
          <c:dPt>
            <c:idx val="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schemeClr>
                  </a:solidFill>
                </a:ln>
                <a:effectLst/>
              </c:spPr>
            </c:marker>
            <c:bubble3D val="0"/>
            <c:spPr>
              <a:ln w="25400" cap="rnd">
                <a:noFill/>
                <a:round/>
              </a:ln>
              <a:effectLst/>
            </c:spPr>
          </c:dPt>
          <c:dPt>
            <c:idx val="1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schemeClr>
                  </a:solidFill>
                </a:ln>
                <a:effectLst/>
              </c:spPr>
            </c:marker>
            <c:bubble3D val="0"/>
            <c:spPr>
              <a:ln w="25400" cap="rnd">
                <a:noFill/>
                <a:round/>
              </a:ln>
              <a:effectLst/>
            </c:spPr>
          </c:dPt>
          <c:dPt>
            <c:idx val="1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schemeClr>
                  </a:solidFill>
                </a:ln>
                <a:effectLst/>
              </c:spPr>
            </c:marker>
            <c:bubble3D val="0"/>
            <c:spPr>
              <a:ln w="25400" cap="rnd">
                <a:noFill/>
                <a:round/>
              </a:ln>
              <a:effectLst/>
            </c:spPr>
          </c:dPt>
          <c:dPt>
            <c:idx val="1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lumOff val="20000"/>
                    </a:schemeClr>
                  </a:solidFill>
                </a:ln>
                <a:effectLst/>
              </c:spPr>
            </c:marker>
            <c:bubble3D val="0"/>
            <c:spPr>
              <a:ln w="25400" cap="rnd">
                <a:noFill/>
                <a:round/>
              </a:ln>
              <a:effectLst/>
            </c:spPr>
          </c:dPt>
          <c:dPt>
            <c:idx val="1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lumOff val="20000"/>
                    </a:schemeClr>
                  </a:solidFill>
                </a:ln>
                <a:effectLst/>
              </c:spPr>
            </c:marker>
            <c:bubble3D val="0"/>
            <c:spPr>
              <a:ln w="25400" cap="rnd">
                <a:noFill/>
                <a:round/>
              </a:ln>
              <a:effectLst/>
            </c:spPr>
          </c:dPt>
          <c:dPt>
            <c:idx val="1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lumOff val="20000"/>
                    </a:schemeClr>
                  </a:solidFill>
                </a:ln>
                <a:effectLst/>
              </c:spPr>
            </c:marker>
            <c:bubble3D val="0"/>
            <c:spPr>
              <a:ln w="25400" cap="rnd">
                <a:noFill/>
                <a:round/>
              </a:ln>
              <a:effectLst/>
            </c:spPr>
          </c:dPt>
          <c:dPt>
            <c:idx val="1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lumOff val="20000"/>
                    </a:schemeClr>
                  </a:solidFill>
                </a:ln>
                <a:effectLst/>
              </c:spPr>
            </c:marker>
            <c:bubble3D val="0"/>
            <c:spPr>
              <a:ln w="25400" cap="rnd">
                <a:noFill/>
                <a:round/>
              </a:ln>
              <a:effectLst/>
            </c:spPr>
          </c:dPt>
          <c:dPt>
            <c:idx val="1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lumOff val="20000"/>
                    </a:schemeClr>
                  </a:solidFill>
                </a:ln>
                <a:effectLst/>
              </c:spPr>
            </c:marker>
            <c:bubble3D val="0"/>
            <c:spPr>
              <a:ln w="25400" cap="rnd">
                <a:noFill/>
                <a:round/>
              </a:ln>
              <a:effectLst/>
            </c:spPr>
          </c:dPt>
          <c:dPt>
            <c:idx val="1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lumOff val="20000"/>
                    </a:schemeClr>
                  </a:solidFill>
                </a:ln>
                <a:effectLst/>
              </c:spPr>
            </c:marker>
            <c:bubble3D val="0"/>
            <c:spPr>
              <a:ln w="25400" cap="rnd">
                <a:noFill/>
                <a:round/>
              </a:ln>
              <a:effectLst/>
            </c:spPr>
          </c:dPt>
          <c:dPt>
            <c:idx val="1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schemeClr>
                  </a:solidFill>
                </a:ln>
                <a:effectLst/>
              </c:spPr>
            </c:marker>
            <c:bubble3D val="0"/>
            <c:spPr>
              <a:ln w="25400" cap="rnd">
                <a:noFill/>
                <a:round/>
              </a:ln>
              <a:effectLst/>
            </c:spPr>
          </c:dPt>
          <c:dPt>
            <c:idx val="1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schemeClr>
                  </a:solidFill>
                </a:ln>
                <a:effectLst/>
              </c:spPr>
            </c:marker>
            <c:bubble3D val="0"/>
            <c:spPr>
              <a:ln w="25400" cap="rnd">
                <a:noFill/>
                <a:round/>
              </a:ln>
              <a:effectLst/>
            </c:spPr>
          </c:dPt>
          <c:dPt>
            <c:idx val="2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schemeClr>
                  </a:solidFill>
                </a:ln>
                <a:effectLst/>
              </c:spPr>
            </c:marker>
            <c:bubble3D val="0"/>
            <c:spPr>
              <a:ln w="25400" cap="rnd">
                <a:noFill/>
                <a:round/>
              </a:ln>
              <a:effectLst/>
            </c:spPr>
          </c:dPt>
          <c:dPt>
            <c:idx val="2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schemeClr>
                  </a:solidFill>
                </a:ln>
                <a:effectLst/>
              </c:spPr>
            </c:marker>
            <c:bubble3D val="0"/>
            <c:spPr>
              <a:ln w="25400" cap="rnd">
                <a:noFill/>
                <a:round/>
              </a:ln>
              <a:effectLst/>
            </c:spPr>
          </c:dPt>
          <c:dPt>
            <c:idx val="2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schemeClr>
                  </a:solidFill>
                </a:ln>
                <a:effectLst/>
              </c:spPr>
            </c:marker>
            <c:bubble3D val="0"/>
            <c:spPr>
              <a:ln w="25400" cap="rnd">
                <a:noFill/>
                <a:round/>
              </a:ln>
              <a:effectLst/>
            </c:spPr>
          </c:dPt>
          <c:dPt>
            <c:idx val="2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schemeClr>
                  </a:solidFill>
                </a:ln>
                <a:effectLst/>
              </c:spPr>
            </c:marker>
            <c:bubble3D val="0"/>
            <c:spPr>
              <a:ln w="25400" cap="rnd">
                <a:noFill/>
                <a:round/>
              </a:ln>
              <a:effectLst/>
            </c:spPr>
          </c:dPt>
          <c:dPt>
            <c:idx val="2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lumOff val="40000"/>
                    </a:schemeClr>
                  </a:solidFill>
                </a:ln>
                <a:effectLst/>
              </c:spPr>
            </c:marker>
            <c:bubble3D val="0"/>
            <c:spPr>
              <a:ln w="25400" cap="rnd">
                <a:noFill/>
                <a:round/>
              </a:ln>
              <a:effectLst/>
            </c:spPr>
          </c:dPt>
          <c:dPt>
            <c:idx val="2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lumOff val="40000"/>
                    </a:schemeClr>
                  </a:solidFill>
                </a:ln>
                <a:effectLst/>
              </c:spPr>
            </c:marker>
            <c:bubble3D val="0"/>
            <c:spPr>
              <a:ln w="25400" cap="rnd">
                <a:noFill/>
                <a:round/>
              </a:ln>
              <a:effectLst/>
            </c:spPr>
          </c:dPt>
          <c:dPt>
            <c:idx val="2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lumOff val="40000"/>
                    </a:schemeClr>
                  </a:solidFill>
                </a:ln>
                <a:effectLst/>
              </c:spPr>
            </c:marker>
            <c:bubble3D val="0"/>
            <c:spPr>
              <a:ln w="25400" cap="rnd">
                <a:noFill/>
                <a:round/>
              </a:ln>
              <a:effectLst/>
            </c:spPr>
          </c:dPt>
          <c:dPt>
            <c:idx val="2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lumOff val="40000"/>
                    </a:schemeClr>
                  </a:solidFill>
                </a:ln>
                <a:effectLst/>
              </c:spPr>
            </c:marker>
            <c:bubble3D val="0"/>
            <c:spPr>
              <a:ln w="25400" cap="rnd">
                <a:noFill/>
                <a:round/>
              </a:ln>
              <a:effectLst/>
            </c:spPr>
          </c:dPt>
          <c:dPt>
            <c:idx val="2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lumOff val="40000"/>
                    </a:schemeClr>
                  </a:solidFill>
                </a:ln>
                <a:effectLst/>
              </c:spPr>
            </c:marker>
            <c:bubble3D val="0"/>
            <c:spPr>
              <a:ln w="25400" cap="rnd">
                <a:noFill/>
                <a:round/>
              </a:ln>
              <a:effectLst/>
            </c:spPr>
          </c:dPt>
          <c:dPt>
            <c:idx val="2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lumOff val="40000"/>
                    </a:schemeClr>
                  </a:solidFill>
                </a:ln>
                <a:effectLst/>
              </c:spPr>
            </c:marker>
            <c:bubble3D val="0"/>
            <c:spPr>
              <a:ln w="25400" cap="rnd">
                <a:noFill/>
                <a:round/>
              </a:ln>
              <a:effectLst/>
            </c:spPr>
          </c:dPt>
          <c:dPt>
            <c:idx val="3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schemeClr>
                  </a:solidFill>
                </a:ln>
                <a:effectLst/>
              </c:spPr>
            </c:marker>
            <c:bubble3D val="0"/>
            <c:spPr>
              <a:ln w="25400" cap="rnd">
                <a:noFill/>
                <a:round/>
              </a:ln>
              <a:effectLst/>
            </c:spPr>
          </c:dPt>
          <c:dPt>
            <c:idx val="3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schemeClr>
                  </a:solidFill>
                </a:ln>
                <a:effectLst/>
              </c:spPr>
            </c:marker>
            <c:bubble3D val="0"/>
            <c:spPr>
              <a:ln w="25400" cap="rnd">
                <a:noFill/>
                <a:round/>
              </a:ln>
              <a:effectLst/>
            </c:spPr>
          </c:dPt>
          <c:dPt>
            <c:idx val="3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schemeClr>
                  </a:solidFill>
                </a:ln>
                <a:effectLst/>
              </c:spPr>
            </c:marker>
            <c:bubble3D val="0"/>
            <c:spPr>
              <a:ln w="25400" cap="rnd">
                <a:noFill/>
                <a:round/>
              </a:ln>
              <a:effectLst/>
            </c:spPr>
          </c:dPt>
          <c:dPt>
            <c:idx val="3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schemeClr>
                  </a:solidFill>
                </a:ln>
                <a:effectLst/>
              </c:spPr>
            </c:marker>
            <c:bubble3D val="0"/>
            <c:spPr>
              <a:ln w="25400" cap="rnd">
                <a:noFill/>
                <a:round/>
              </a:ln>
              <a:effectLst/>
            </c:spPr>
          </c:dPt>
          <c:dPt>
            <c:idx val="3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schemeClr>
                  </a:solidFill>
                </a:ln>
                <a:effectLst/>
              </c:spPr>
            </c:marker>
            <c:bubble3D val="0"/>
            <c:spPr>
              <a:ln w="25400" cap="rnd">
                <a:noFill/>
                <a:round/>
              </a:ln>
              <a:effectLst/>
            </c:spPr>
          </c:dPt>
          <c:dPt>
            <c:idx val="3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schemeClr>
                  </a:solidFill>
                </a:ln>
                <a:effectLst/>
              </c:spPr>
            </c:marker>
            <c:bubble3D val="0"/>
            <c:spPr>
              <a:ln w="25400" cap="rnd">
                <a:noFill/>
                <a:round/>
              </a:ln>
              <a:effectLst/>
            </c:spPr>
          </c:dPt>
          <c:dPt>
            <c:idx val="3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lumOff val="30000"/>
                    </a:schemeClr>
                  </a:solidFill>
                </a:ln>
                <a:effectLst/>
              </c:spPr>
            </c:marker>
            <c:bubble3D val="0"/>
            <c:spPr>
              <a:ln w="25400" cap="rnd">
                <a:noFill/>
                <a:round/>
              </a:ln>
              <a:effectLst/>
            </c:spPr>
          </c:dPt>
          <c:dPt>
            <c:idx val="3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lumOff val="30000"/>
                    </a:schemeClr>
                  </a:solidFill>
                </a:ln>
                <a:effectLst/>
              </c:spPr>
            </c:marker>
            <c:bubble3D val="0"/>
            <c:spPr>
              <a:ln w="25400" cap="rnd">
                <a:noFill/>
                <a:round/>
              </a:ln>
              <a:effectLst/>
            </c:spPr>
          </c:dPt>
          <c:dPt>
            <c:idx val="3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lumOff val="30000"/>
                    </a:schemeClr>
                  </a:solidFill>
                </a:ln>
                <a:effectLst/>
              </c:spPr>
            </c:marker>
            <c:bubble3D val="0"/>
            <c:spPr>
              <a:ln w="25400" cap="rnd">
                <a:noFill/>
                <a:round/>
              </a:ln>
              <a:effectLst/>
            </c:spPr>
          </c:dPt>
          <c:dPt>
            <c:idx val="3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lumOff val="30000"/>
                    </a:schemeClr>
                  </a:solidFill>
                </a:ln>
                <a:effectLst/>
              </c:spPr>
            </c:marker>
            <c:bubble3D val="0"/>
            <c:spPr>
              <a:ln w="25400" cap="rnd">
                <a:noFill/>
                <a:round/>
              </a:ln>
              <a:effectLst/>
            </c:spPr>
          </c:dPt>
          <c:dPt>
            <c:idx val="4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lumOff val="30000"/>
                    </a:schemeClr>
                  </a:solidFill>
                </a:ln>
                <a:effectLst/>
              </c:spPr>
            </c:marker>
            <c:bubble3D val="0"/>
            <c:spPr>
              <a:ln w="25400" cap="rnd">
                <a:noFill/>
                <a:round/>
              </a:ln>
              <a:effectLst/>
            </c:spPr>
          </c:dPt>
          <c:dPt>
            <c:idx val="4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lumOff val="30000"/>
                    </a:schemeClr>
                  </a:solidFill>
                </a:ln>
                <a:effectLst/>
              </c:spPr>
            </c:marker>
            <c:bubble3D val="0"/>
            <c:spPr>
              <a:ln w="25400" cap="rnd">
                <a:noFill/>
                <a:round/>
              </a:ln>
              <a:effectLst/>
            </c:spPr>
          </c:dPt>
          <c:dPt>
            <c:idx val="4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schemeClr>
                  </a:solidFill>
                </a:ln>
                <a:effectLst/>
              </c:spPr>
            </c:marker>
            <c:bubble3D val="0"/>
            <c:spPr>
              <a:ln w="25400" cap="rnd">
                <a:noFill/>
                <a:round/>
              </a:ln>
              <a:effectLst/>
            </c:spPr>
          </c:dPt>
          <c:dPt>
            <c:idx val="4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schemeClr>
                  </a:solidFill>
                </a:ln>
                <a:effectLst/>
              </c:spPr>
            </c:marker>
            <c:bubble3D val="0"/>
            <c:spPr>
              <a:ln w="25400" cap="rnd">
                <a:noFill/>
                <a:round/>
              </a:ln>
              <a:effectLst/>
            </c:spPr>
          </c:dPt>
          <c:dPt>
            <c:idx val="4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schemeClr>
                  </a:solidFill>
                </a:ln>
                <a:effectLst/>
              </c:spPr>
            </c:marker>
            <c:bubble3D val="0"/>
            <c:spPr>
              <a:ln w="25400" cap="rnd">
                <a:noFill/>
                <a:round/>
              </a:ln>
              <a:effectLst/>
            </c:spPr>
          </c:dPt>
          <c:dPt>
            <c:idx val="4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schemeClr>
                  </a:solidFill>
                </a:ln>
                <a:effectLst/>
              </c:spPr>
            </c:marker>
            <c:bubble3D val="0"/>
            <c:spPr>
              <a:ln w="25400" cap="rnd">
                <a:noFill/>
                <a:round/>
              </a:ln>
              <a:effectLst/>
            </c:spPr>
          </c:dPt>
          <c:dPt>
            <c:idx val="4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schemeClr>
                  </a:solidFill>
                </a:ln>
                <a:effectLst/>
              </c:spPr>
            </c:marker>
            <c:bubble3D val="0"/>
            <c:spPr>
              <a:ln w="25400" cap="rnd">
                <a:noFill/>
                <a:round/>
              </a:ln>
              <a:effectLst/>
            </c:spPr>
          </c:dPt>
          <c:dPt>
            <c:idx val="4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schemeClr>
                  </a:solidFill>
                </a:ln>
                <a:effectLst/>
              </c:spPr>
            </c:marker>
            <c:bubble3D val="0"/>
            <c:spPr>
              <a:ln w="25400" cap="rnd">
                <a:noFill/>
                <a:round/>
              </a:ln>
              <a:effectLst/>
            </c:spPr>
          </c:dPt>
          <c:dPt>
            <c:idx val="4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lumOff val="50000"/>
                    </a:schemeClr>
                  </a:solidFill>
                </a:ln>
                <a:effectLst/>
              </c:spPr>
            </c:marker>
            <c:bubble3D val="0"/>
            <c:spPr>
              <a:ln w="25400" cap="rnd">
                <a:noFill/>
                <a:round/>
              </a:ln>
              <a:effectLst/>
            </c:spPr>
          </c:dPt>
          <c:dPt>
            <c:idx val="4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lumOff val="50000"/>
                    </a:schemeClr>
                  </a:solidFill>
                </a:ln>
                <a:effectLst/>
              </c:spPr>
            </c:marker>
            <c:bubble3D val="0"/>
            <c:spPr>
              <a:ln w="25400" cap="rnd">
                <a:noFill/>
                <a:round/>
              </a:ln>
              <a:effectLst/>
            </c:spPr>
          </c:dPt>
          <c:dPt>
            <c:idx val="5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lumOff val="50000"/>
                    </a:schemeClr>
                  </a:solidFill>
                </a:ln>
                <a:effectLst/>
              </c:spPr>
            </c:marker>
            <c:bubble3D val="0"/>
            <c:spPr>
              <a:ln w="25400" cap="rnd">
                <a:noFill/>
                <a:round/>
              </a:ln>
              <a:effectLst/>
            </c:spPr>
          </c:dPt>
          <c:dPt>
            <c:idx val="5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lumOff val="50000"/>
                    </a:schemeClr>
                  </a:solidFill>
                </a:ln>
                <a:effectLst/>
              </c:spPr>
            </c:marker>
            <c:bubble3D val="0"/>
            <c:spPr>
              <a:ln w="25400" cap="rnd">
                <a:noFill/>
                <a:round/>
              </a:ln>
              <a:effectLst/>
            </c:spPr>
          </c:dPt>
          <c:dPt>
            <c:idx val="5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lumOff val="50000"/>
                    </a:schemeClr>
                  </a:solidFill>
                </a:ln>
                <a:effectLst/>
              </c:spPr>
            </c:marker>
            <c:bubble3D val="0"/>
            <c:spPr>
              <a:ln w="25400" cap="rnd">
                <a:noFill/>
                <a:round/>
              </a:ln>
              <a:effectLst/>
            </c:spPr>
          </c:dPt>
          <c:dPt>
            <c:idx val="5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lumOff val="50000"/>
                    </a:schemeClr>
                  </a:solidFill>
                </a:ln>
                <a:effectLst/>
              </c:spPr>
            </c:marker>
            <c:bubble3D val="0"/>
            <c:spPr>
              <a:ln w="25400" cap="rnd">
                <a:noFill/>
                <a:round/>
              </a:ln>
              <a:effectLst/>
            </c:spPr>
          </c:dPt>
          <c:dPt>
            <c:idx val="5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bubble3D val="0"/>
            <c:spPr>
              <a:ln w="25400" cap="rnd">
                <a:noFill/>
                <a:round/>
              </a:ln>
              <a:effectLst/>
            </c:spPr>
          </c:dPt>
          <c:dPt>
            <c:idx val="5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solidFill>
                </a:ln>
                <a:effectLst/>
              </c:spPr>
            </c:marker>
            <c:bubble3D val="0"/>
            <c:spPr>
              <a:ln w="25400" cap="rnd">
                <a:noFill/>
                <a:round/>
              </a:ln>
              <a:effectLst/>
            </c:spPr>
          </c:dPt>
          <c:dPt>
            <c:idx val="5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solidFill>
                </a:ln>
                <a:effectLst/>
              </c:spPr>
            </c:marker>
            <c:bubble3D val="0"/>
            <c:spPr>
              <a:ln w="25400" cap="rnd">
                <a:noFill/>
                <a:round/>
              </a:ln>
              <a:effectLst/>
            </c:spPr>
          </c:dPt>
          <c:dPt>
            <c:idx val="5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solidFill>
                </a:ln>
                <a:effectLst/>
              </c:spPr>
            </c:marker>
            <c:bubble3D val="0"/>
            <c:spPr>
              <a:ln w="25400" cap="rnd">
                <a:noFill/>
                <a:round/>
              </a:ln>
              <a:effectLst/>
            </c:spPr>
          </c:dPt>
          <c:dPt>
            <c:idx val="5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solidFill>
                </a:ln>
                <a:effectLst/>
              </c:spPr>
            </c:marker>
            <c:bubble3D val="0"/>
            <c:spPr>
              <a:ln w="25400" cap="rnd">
                <a:noFill/>
                <a:round/>
              </a:ln>
              <a:effectLst/>
            </c:spPr>
          </c:dPt>
          <c:dPt>
            <c:idx val="5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solidFill>
                </a:ln>
                <a:effectLst/>
              </c:spPr>
            </c:marker>
            <c:bubble3D val="0"/>
            <c:spPr>
              <a:ln w="25400" cap="rnd">
                <a:noFill/>
                <a:round/>
              </a:ln>
              <a:effectLst/>
            </c:spPr>
          </c:dPt>
          <c:dPt>
            <c:idx val="6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schemeClr>
                  </a:solidFill>
                </a:ln>
                <a:effectLst/>
              </c:spPr>
            </c:marker>
            <c:bubble3D val="0"/>
            <c:spPr>
              <a:ln w="25400" cap="rnd">
                <a:noFill/>
                <a:round/>
              </a:ln>
              <a:effectLst/>
            </c:spPr>
          </c:dPt>
          <c:dPt>
            <c:idx val="6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schemeClr>
                  </a:solidFill>
                </a:ln>
                <a:effectLst/>
              </c:spPr>
            </c:marker>
            <c:bubble3D val="0"/>
            <c:spPr>
              <a:ln w="25400" cap="rnd">
                <a:noFill/>
                <a:round/>
              </a:ln>
              <a:effectLst/>
            </c:spPr>
          </c:dPt>
          <c:dPt>
            <c:idx val="6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schemeClr>
                  </a:solidFill>
                </a:ln>
                <a:effectLst/>
              </c:spPr>
            </c:marker>
            <c:bubble3D val="0"/>
            <c:spPr>
              <a:ln w="25400" cap="rnd">
                <a:noFill/>
                <a:round/>
              </a:ln>
              <a:effectLst/>
            </c:spPr>
          </c:dPt>
          <c:dPt>
            <c:idx val="6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schemeClr>
                  </a:solidFill>
                </a:ln>
                <a:effectLst/>
              </c:spPr>
            </c:marker>
            <c:bubble3D val="0"/>
            <c:spPr>
              <a:ln w="25400" cap="rnd">
                <a:noFill/>
                <a:round/>
              </a:ln>
              <a:effectLst/>
            </c:spPr>
          </c:dPt>
          <c:dPt>
            <c:idx val="6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schemeClr>
                  </a:solidFill>
                </a:ln>
                <a:effectLst/>
              </c:spPr>
            </c:marker>
            <c:bubble3D val="0"/>
            <c:spPr>
              <a:ln w="25400" cap="rnd">
                <a:noFill/>
                <a:round/>
              </a:ln>
              <a:effectLst/>
            </c:spPr>
          </c:dPt>
          <c:dPt>
            <c:idx val="6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schemeClr>
                  </a:solidFill>
                </a:ln>
                <a:effectLst/>
              </c:spPr>
            </c:marker>
            <c:bubble3D val="0"/>
            <c:spPr>
              <a:ln w="25400" cap="rnd">
                <a:noFill/>
                <a:round/>
              </a:ln>
              <a:effectLst/>
            </c:spPr>
          </c:dPt>
          <c:dPt>
            <c:idx val="6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lumOff val="20000"/>
                    </a:schemeClr>
                  </a:solidFill>
                </a:ln>
                <a:effectLst/>
              </c:spPr>
            </c:marker>
            <c:bubble3D val="0"/>
            <c:spPr>
              <a:ln w="25400" cap="rnd">
                <a:noFill/>
                <a:round/>
              </a:ln>
              <a:effectLst/>
            </c:spPr>
          </c:dPt>
          <c:dPt>
            <c:idx val="6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lumOff val="20000"/>
                    </a:schemeClr>
                  </a:solidFill>
                </a:ln>
                <a:effectLst/>
              </c:spPr>
            </c:marker>
            <c:bubble3D val="0"/>
            <c:spPr>
              <a:ln w="25400" cap="rnd">
                <a:noFill/>
                <a:round/>
              </a:ln>
              <a:effectLst/>
            </c:spPr>
          </c:dPt>
          <c:dPt>
            <c:idx val="6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lumOff val="20000"/>
                    </a:schemeClr>
                  </a:solidFill>
                </a:ln>
                <a:effectLst/>
              </c:spPr>
            </c:marker>
            <c:bubble3D val="0"/>
            <c:spPr>
              <a:ln w="25400" cap="rnd">
                <a:noFill/>
                <a:round/>
              </a:ln>
              <a:effectLst/>
            </c:spPr>
          </c:dPt>
          <c:dPt>
            <c:idx val="6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lumOff val="20000"/>
                    </a:schemeClr>
                  </a:solidFill>
                </a:ln>
                <a:effectLst/>
              </c:spPr>
            </c:marker>
            <c:bubble3D val="0"/>
            <c:spPr>
              <a:ln w="25400" cap="rnd">
                <a:noFill/>
                <a:round/>
              </a:ln>
              <a:effectLst/>
            </c:spPr>
          </c:dPt>
          <c:dPt>
            <c:idx val="7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lumOff val="20000"/>
                    </a:schemeClr>
                  </a:solidFill>
                </a:ln>
                <a:effectLst/>
              </c:spPr>
            </c:marker>
            <c:bubble3D val="0"/>
            <c:spPr>
              <a:ln w="25400" cap="rnd">
                <a:noFill/>
                <a:round/>
              </a:ln>
              <a:effectLst/>
            </c:spPr>
          </c:dPt>
          <c:dPt>
            <c:idx val="7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lumOff val="20000"/>
                    </a:schemeClr>
                  </a:solidFill>
                </a:ln>
                <a:effectLst/>
              </c:spPr>
            </c:marker>
            <c:bubble3D val="0"/>
            <c:spPr>
              <a:ln w="25400" cap="rnd">
                <a:noFill/>
                <a:round/>
              </a:ln>
              <a:effectLst/>
            </c:spPr>
          </c:dPt>
          <c:dPt>
            <c:idx val="7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schemeClr>
                  </a:solidFill>
                </a:ln>
                <a:effectLst/>
              </c:spPr>
            </c:marker>
            <c:bubble3D val="0"/>
            <c:spPr>
              <a:ln w="25400" cap="rnd">
                <a:noFill/>
                <a:round/>
              </a:ln>
              <a:effectLst/>
            </c:spPr>
          </c:dPt>
          <c:dPt>
            <c:idx val="7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schemeClr>
                  </a:solidFill>
                </a:ln>
                <a:effectLst/>
              </c:spPr>
            </c:marker>
            <c:bubble3D val="0"/>
            <c:spPr>
              <a:ln w="25400" cap="rnd">
                <a:noFill/>
                <a:round/>
              </a:ln>
              <a:effectLst/>
            </c:spPr>
          </c:dPt>
          <c:dPt>
            <c:idx val="7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schemeClr>
                  </a:solidFill>
                </a:ln>
                <a:effectLst/>
              </c:spPr>
            </c:marker>
            <c:bubble3D val="0"/>
            <c:spPr>
              <a:ln w="25400" cap="rnd">
                <a:noFill/>
                <a:round/>
              </a:ln>
              <a:effectLst/>
            </c:spPr>
          </c:dPt>
          <c:dPt>
            <c:idx val="7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schemeClr>
                  </a:solidFill>
                </a:ln>
                <a:effectLst/>
              </c:spPr>
            </c:marker>
            <c:bubble3D val="0"/>
            <c:spPr>
              <a:ln w="25400" cap="rnd">
                <a:noFill/>
                <a:round/>
              </a:ln>
              <a:effectLst/>
            </c:spPr>
          </c:dPt>
          <c:dPt>
            <c:idx val="7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schemeClr>
                  </a:solidFill>
                </a:ln>
                <a:effectLst/>
              </c:spPr>
            </c:marker>
            <c:bubble3D val="0"/>
            <c:spPr>
              <a:ln w="25400" cap="rnd">
                <a:noFill/>
                <a:round/>
              </a:ln>
              <a:effectLst/>
            </c:spPr>
          </c:dPt>
          <c:dPt>
            <c:idx val="7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schemeClr>
                  </a:solidFill>
                </a:ln>
                <a:effectLst/>
              </c:spPr>
            </c:marker>
            <c:bubble3D val="0"/>
            <c:spPr>
              <a:ln w="25400" cap="rnd">
                <a:noFill/>
                <a:round/>
              </a:ln>
              <a:effectLst/>
            </c:spPr>
          </c:dPt>
          <c:dPt>
            <c:idx val="7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lumOff val="40000"/>
                    </a:schemeClr>
                  </a:solidFill>
                </a:ln>
                <a:effectLst/>
              </c:spPr>
            </c:marker>
            <c:bubble3D val="0"/>
            <c:spPr>
              <a:ln w="25400" cap="rnd">
                <a:noFill/>
                <a:round/>
              </a:ln>
              <a:effectLst/>
            </c:spPr>
          </c:dPt>
          <c:dPt>
            <c:idx val="7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lumOff val="40000"/>
                    </a:schemeClr>
                  </a:solidFill>
                </a:ln>
                <a:effectLst/>
              </c:spPr>
            </c:marker>
            <c:bubble3D val="0"/>
            <c:spPr>
              <a:ln w="25400" cap="rnd">
                <a:noFill/>
                <a:round/>
              </a:ln>
              <a:effectLst/>
            </c:spPr>
          </c:dPt>
          <c:dPt>
            <c:idx val="8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lumOff val="40000"/>
                    </a:schemeClr>
                  </a:solidFill>
                </a:ln>
                <a:effectLst/>
              </c:spPr>
            </c:marker>
            <c:bubble3D val="0"/>
            <c:spPr>
              <a:ln w="25400" cap="rnd">
                <a:noFill/>
                <a:round/>
              </a:ln>
              <a:effectLst/>
            </c:spPr>
          </c:dPt>
          <c:dPt>
            <c:idx val="8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lumOff val="40000"/>
                    </a:schemeClr>
                  </a:solidFill>
                </a:ln>
                <a:effectLst/>
              </c:spPr>
            </c:marker>
            <c:bubble3D val="0"/>
            <c:spPr>
              <a:ln w="25400" cap="rnd">
                <a:noFill/>
                <a:round/>
              </a:ln>
              <a:effectLst/>
            </c:spPr>
          </c:dPt>
          <c:dPt>
            <c:idx val="8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lumOff val="40000"/>
                    </a:schemeClr>
                  </a:solidFill>
                </a:ln>
                <a:effectLst/>
              </c:spPr>
            </c:marker>
            <c:bubble3D val="0"/>
            <c:spPr>
              <a:ln w="25400" cap="rnd">
                <a:noFill/>
                <a:round/>
              </a:ln>
              <a:effectLst/>
            </c:spPr>
          </c:dPt>
          <c:dPt>
            <c:idx val="8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lumOff val="40000"/>
                    </a:schemeClr>
                  </a:solidFill>
                </a:ln>
                <a:effectLst/>
              </c:spPr>
            </c:marker>
            <c:bubble3D val="0"/>
            <c:spPr>
              <a:ln w="25400" cap="rnd">
                <a:noFill/>
                <a:round/>
              </a:ln>
              <a:effectLst/>
            </c:spPr>
          </c:dPt>
          <c:dPt>
            <c:idx val="8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schemeClr>
                  </a:solidFill>
                </a:ln>
                <a:effectLst/>
              </c:spPr>
            </c:marker>
            <c:bubble3D val="0"/>
            <c:spPr>
              <a:ln w="25400" cap="rnd">
                <a:noFill/>
                <a:round/>
              </a:ln>
              <a:effectLst/>
            </c:spPr>
          </c:dPt>
          <c:dPt>
            <c:idx val="8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schemeClr>
                  </a:solidFill>
                </a:ln>
                <a:effectLst/>
              </c:spPr>
            </c:marker>
            <c:bubble3D val="0"/>
            <c:spPr>
              <a:ln w="25400" cap="rnd">
                <a:noFill/>
                <a:round/>
              </a:ln>
              <a:effectLst/>
            </c:spPr>
          </c:dPt>
          <c:dPt>
            <c:idx val="8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schemeClr>
                  </a:solidFill>
                </a:ln>
                <a:effectLst/>
              </c:spPr>
            </c:marker>
            <c:bubble3D val="0"/>
            <c:spPr>
              <a:ln w="25400" cap="rnd">
                <a:noFill/>
                <a:round/>
              </a:ln>
              <a:effectLst/>
            </c:spPr>
          </c:dPt>
          <c:dPt>
            <c:idx val="8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schemeClr>
                  </a:solidFill>
                </a:ln>
                <a:effectLst/>
              </c:spPr>
            </c:marker>
            <c:bubble3D val="0"/>
            <c:spPr>
              <a:ln w="25400" cap="rnd">
                <a:noFill/>
                <a:round/>
              </a:ln>
              <a:effectLst/>
            </c:spPr>
          </c:dPt>
          <c:dPt>
            <c:idx val="8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schemeClr>
                  </a:solidFill>
                </a:ln>
                <a:effectLst/>
              </c:spPr>
            </c:marker>
            <c:bubble3D val="0"/>
            <c:spPr>
              <a:ln w="25400" cap="rnd">
                <a:noFill/>
                <a:round/>
              </a:ln>
              <a:effectLst/>
            </c:spPr>
          </c:dPt>
          <c:dPt>
            <c:idx val="8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schemeClr>
                  </a:solidFill>
                </a:ln>
                <a:effectLst/>
              </c:spPr>
            </c:marker>
            <c:bubble3D val="0"/>
            <c:spPr>
              <a:ln w="25400" cap="rnd">
                <a:noFill/>
                <a:round/>
              </a:ln>
              <a:effectLst/>
            </c:spPr>
          </c:dPt>
          <c:dPt>
            <c:idx val="9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lumOff val="30000"/>
                    </a:schemeClr>
                  </a:solidFill>
                </a:ln>
                <a:effectLst/>
              </c:spPr>
            </c:marker>
            <c:bubble3D val="0"/>
            <c:spPr>
              <a:ln w="25400" cap="rnd">
                <a:noFill/>
                <a:round/>
              </a:ln>
              <a:effectLst/>
            </c:spPr>
          </c:dPt>
          <c:dPt>
            <c:idx val="9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lumOff val="30000"/>
                    </a:schemeClr>
                  </a:solidFill>
                </a:ln>
                <a:effectLst/>
              </c:spPr>
            </c:marker>
            <c:bubble3D val="0"/>
            <c:spPr>
              <a:ln w="25400" cap="rnd">
                <a:noFill/>
                <a:round/>
              </a:ln>
              <a:effectLst/>
            </c:spPr>
          </c:dPt>
          <c:dPt>
            <c:idx val="9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lumOff val="30000"/>
                    </a:schemeClr>
                  </a:solidFill>
                </a:ln>
                <a:effectLst/>
              </c:spPr>
            </c:marker>
            <c:bubble3D val="0"/>
            <c:spPr>
              <a:ln w="25400" cap="rnd">
                <a:noFill/>
                <a:round/>
              </a:ln>
              <a:effectLst/>
            </c:spPr>
          </c:dPt>
          <c:dPt>
            <c:idx val="9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lumOff val="30000"/>
                    </a:schemeClr>
                  </a:solidFill>
                </a:ln>
                <a:effectLst/>
              </c:spPr>
            </c:marker>
            <c:bubble3D val="0"/>
            <c:spPr>
              <a:ln w="25400" cap="rnd">
                <a:noFill/>
                <a:round/>
              </a:ln>
              <a:effectLst/>
            </c:spPr>
          </c:dPt>
          <c:dPt>
            <c:idx val="9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lumOff val="30000"/>
                    </a:schemeClr>
                  </a:solidFill>
                </a:ln>
                <a:effectLst/>
              </c:spPr>
            </c:marker>
            <c:bubble3D val="0"/>
            <c:spPr>
              <a:ln w="25400" cap="rnd">
                <a:noFill/>
                <a:round/>
              </a:ln>
              <a:effectLst/>
            </c:spPr>
          </c:dPt>
          <c:dPt>
            <c:idx val="9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lumOff val="30000"/>
                    </a:schemeClr>
                  </a:solidFill>
                </a:ln>
                <a:effectLst/>
              </c:spPr>
            </c:marker>
            <c:bubble3D val="0"/>
            <c:spPr>
              <a:ln w="25400" cap="rnd">
                <a:noFill/>
                <a:round/>
              </a:ln>
              <a:effectLst/>
            </c:spPr>
          </c:dPt>
          <c:dPt>
            <c:idx val="9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schemeClr>
                  </a:solidFill>
                </a:ln>
                <a:effectLst/>
              </c:spPr>
            </c:marker>
            <c:bubble3D val="0"/>
            <c:spPr>
              <a:ln w="25400" cap="rnd">
                <a:noFill/>
                <a:round/>
              </a:ln>
              <a:effectLst/>
            </c:spPr>
          </c:dPt>
          <c:dPt>
            <c:idx val="9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schemeClr>
                  </a:solidFill>
                </a:ln>
                <a:effectLst/>
              </c:spPr>
            </c:marker>
            <c:bubble3D val="0"/>
            <c:spPr>
              <a:ln w="25400" cap="rnd">
                <a:noFill/>
                <a:round/>
              </a:ln>
              <a:effectLst/>
            </c:spPr>
          </c:dPt>
          <c:dPt>
            <c:idx val="9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schemeClr>
                  </a:solidFill>
                </a:ln>
                <a:effectLst/>
              </c:spPr>
            </c:marker>
            <c:bubble3D val="0"/>
            <c:spPr>
              <a:ln w="25400" cap="rnd">
                <a:noFill/>
                <a:round/>
              </a:ln>
              <a:effectLst/>
            </c:spPr>
          </c:dPt>
          <c:dPt>
            <c:idx val="9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schemeClr>
                  </a:solidFill>
                </a:ln>
                <a:effectLst/>
              </c:spPr>
            </c:marker>
            <c:bubble3D val="0"/>
            <c:spPr>
              <a:ln w="25400" cap="rnd">
                <a:noFill/>
                <a:round/>
              </a:ln>
              <a:effectLst/>
            </c:spPr>
          </c:dPt>
          <c:dPt>
            <c:idx val="10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schemeClr>
                  </a:solidFill>
                </a:ln>
                <a:effectLst/>
              </c:spPr>
            </c:marker>
            <c:bubble3D val="0"/>
            <c:spPr>
              <a:ln w="25400" cap="rnd">
                <a:noFill/>
                <a:round/>
              </a:ln>
              <a:effectLst/>
            </c:spPr>
          </c:dPt>
          <c:dPt>
            <c:idx val="10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schemeClr>
                  </a:solidFill>
                </a:ln>
                <a:effectLst/>
              </c:spPr>
            </c:marker>
            <c:bubble3D val="0"/>
            <c:spPr>
              <a:ln w="25400" cap="rnd">
                <a:noFill/>
                <a:round/>
              </a:ln>
              <a:effectLst/>
            </c:spPr>
          </c:dPt>
          <c:dPt>
            <c:idx val="10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lumOff val="50000"/>
                    </a:schemeClr>
                  </a:solidFill>
                </a:ln>
                <a:effectLst/>
              </c:spPr>
            </c:marker>
            <c:bubble3D val="0"/>
            <c:spPr>
              <a:ln w="25400" cap="rnd">
                <a:noFill/>
                <a:round/>
              </a:ln>
              <a:effectLst/>
            </c:spPr>
          </c:dPt>
          <c:dPt>
            <c:idx val="10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lumOff val="50000"/>
                    </a:schemeClr>
                  </a:solidFill>
                </a:ln>
                <a:effectLst/>
              </c:spPr>
            </c:marker>
            <c:bubble3D val="0"/>
            <c:spPr>
              <a:ln w="25400" cap="rnd">
                <a:noFill/>
                <a:round/>
              </a:ln>
              <a:effectLst/>
            </c:spPr>
          </c:dPt>
          <c:dPt>
            <c:idx val="10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lumOff val="50000"/>
                    </a:schemeClr>
                  </a:solidFill>
                </a:ln>
                <a:effectLst/>
              </c:spPr>
            </c:marker>
            <c:bubble3D val="0"/>
            <c:spPr>
              <a:ln w="25400" cap="rnd">
                <a:noFill/>
                <a:round/>
              </a:ln>
              <a:effectLst/>
            </c:spPr>
          </c:dPt>
          <c:dPt>
            <c:idx val="10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lumOff val="50000"/>
                    </a:schemeClr>
                  </a:solidFill>
                </a:ln>
                <a:effectLst/>
              </c:spPr>
            </c:marker>
            <c:bubble3D val="0"/>
            <c:spPr>
              <a:ln w="25400" cap="rnd">
                <a:noFill/>
                <a:round/>
              </a:ln>
              <a:effectLst/>
            </c:spPr>
          </c:dPt>
          <c:dPt>
            <c:idx val="10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lumOff val="50000"/>
                    </a:schemeClr>
                  </a:solidFill>
                </a:ln>
                <a:effectLst/>
              </c:spPr>
            </c:marker>
            <c:bubble3D val="0"/>
            <c:spPr>
              <a:ln w="25400" cap="rnd">
                <a:noFill/>
                <a:round/>
              </a:ln>
              <a:effectLst/>
            </c:spPr>
          </c:dPt>
          <c:dPt>
            <c:idx val="10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lumOff val="50000"/>
                    </a:schemeClr>
                  </a:solidFill>
                </a:ln>
                <a:effectLst/>
              </c:spPr>
            </c:marker>
            <c:bubble3D val="0"/>
            <c:spPr>
              <a:ln w="25400" cap="rnd">
                <a:noFill/>
                <a:round/>
              </a:ln>
              <a:effectLst/>
            </c:spPr>
          </c:dPt>
          <c:dPt>
            <c:idx val="10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bubble3D val="0"/>
            <c:spPr>
              <a:ln w="25400" cap="rnd">
                <a:noFill/>
                <a:round/>
              </a:ln>
              <a:effectLst/>
            </c:spPr>
          </c:dPt>
          <c:dPt>
            <c:idx val="10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solidFill>
                </a:ln>
                <a:effectLst/>
              </c:spPr>
            </c:marker>
            <c:bubble3D val="0"/>
            <c:spPr>
              <a:ln w="25400" cap="rnd">
                <a:noFill/>
                <a:round/>
              </a:ln>
              <a:effectLst/>
            </c:spPr>
          </c:dPt>
          <c:dPt>
            <c:idx val="11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solidFill>
                </a:ln>
                <a:effectLst/>
              </c:spPr>
            </c:marker>
            <c:bubble3D val="0"/>
            <c:spPr>
              <a:ln w="25400" cap="rnd">
                <a:noFill/>
                <a:round/>
              </a:ln>
              <a:effectLst/>
            </c:spPr>
          </c:dPt>
          <c:dPt>
            <c:idx val="11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solidFill>
                </a:ln>
                <a:effectLst/>
              </c:spPr>
            </c:marker>
            <c:bubble3D val="0"/>
            <c:spPr>
              <a:ln w="25400" cap="rnd">
                <a:noFill/>
                <a:round/>
              </a:ln>
              <a:effectLst/>
            </c:spPr>
          </c:dPt>
          <c:dPt>
            <c:idx val="11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solidFill>
                </a:ln>
                <a:effectLst/>
              </c:spPr>
            </c:marker>
            <c:bubble3D val="0"/>
            <c:spPr>
              <a:ln w="25400" cap="rnd">
                <a:noFill/>
                <a:round/>
              </a:ln>
              <a:effectLst/>
            </c:spPr>
          </c:dPt>
          <c:dPt>
            <c:idx val="11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solidFill>
                </a:ln>
                <a:effectLst/>
              </c:spPr>
            </c:marker>
            <c:bubble3D val="0"/>
            <c:spPr>
              <a:ln w="25400" cap="rnd">
                <a:noFill/>
                <a:round/>
              </a:ln>
              <a:effectLst/>
            </c:spPr>
          </c:dPt>
          <c:dPt>
            <c:idx val="11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schemeClr>
                  </a:solidFill>
                </a:ln>
                <a:effectLst/>
              </c:spPr>
            </c:marker>
            <c:bubble3D val="0"/>
            <c:spPr>
              <a:ln w="25400" cap="rnd">
                <a:noFill/>
                <a:round/>
              </a:ln>
              <a:effectLst/>
            </c:spPr>
          </c:dPt>
          <c:dPt>
            <c:idx val="11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schemeClr>
                  </a:solidFill>
                </a:ln>
                <a:effectLst/>
              </c:spPr>
            </c:marker>
            <c:bubble3D val="0"/>
            <c:spPr>
              <a:ln w="25400" cap="rnd">
                <a:noFill/>
                <a:round/>
              </a:ln>
              <a:effectLst/>
            </c:spPr>
          </c:dPt>
          <c:dPt>
            <c:idx val="11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schemeClr>
                  </a:solidFill>
                </a:ln>
                <a:effectLst/>
              </c:spPr>
            </c:marker>
            <c:bubble3D val="0"/>
            <c:spPr>
              <a:ln w="25400" cap="rnd">
                <a:noFill/>
                <a:round/>
              </a:ln>
              <a:effectLst/>
            </c:spPr>
          </c:dPt>
          <c:dPt>
            <c:idx val="11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schemeClr>
                  </a:solidFill>
                </a:ln>
                <a:effectLst/>
              </c:spPr>
            </c:marker>
            <c:bubble3D val="0"/>
            <c:spPr>
              <a:ln w="25400" cap="rnd">
                <a:noFill/>
                <a:round/>
              </a:ln>
              <a:effectLst/>
            </c:spPr>
          </c:dPt>
          <c:dPt>
            <c:idx val="11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schemeClr>
                  </a:solidFill>
                </a:ln>
                <a:effectLst/>
              </c:spPr>
            </c:marker>
            <c:bubble3D val="0"/>
            <c:spPr>
              <a:ln w="25400" cap="rnd">
                <a:noFill/>
                <a:round/>
              </a:ln>
              <a:effectLst/>
            </c:spPr>
          </c:dPt>
          <c:dPt>
            <c:idx val="11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schemeClr>
                  </a:solidFill>
                </a:ln>
                <a:effectLst/>
              </c:spPr>
            </c:marker>
            <c:bubble3D val="0"/>
            <c:spPr>
              <a:ln w="25400" cap="rnd">
                <a:noFill/>
                <a:round/>
              </a:ln>
              <a:effectLst/>
            </c:spPr>
          </c:dPt>
          <c:dPt>
            <c:idx val="12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lumOff val="20000"/>
                    </a:schemeClr>
                  </a:solidFill>
                </a:ln>
                <a:effectLst/>
              </c:spPr>
            </c:marker>
            <c:bubble3D val="0"/>
            <c:spPr>
              <a:ln w="25400" cap="rnd">
                <a:noFill/>
                <a:round/>
              </a:ln>
              <a:effectLst/>
            </c:spPr>
          </c:dPt>
          <c:dPt>
            <c:idx val="12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lumOff val="20000"/>
                    </a:schemeClr>
                  </a:solidFill>
                </a:ln>
                <a:effectLst/>
              </c:spPr>
            </c:marker>
            <c:bubble3D val="0"/>
            <c:spPr>
              <a:ln w="25400" cap="rnd">
                <a:noFill/>
                <a:round/>
              </a:ln>
              <a:effectLst/>
            </c:spPr>
          </c:dPt>
          <c:dPt>
            <c:idx val="12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lumOff val="20000"/>
                    </a:schemeClr>
                  </a:solidFill>
                </a:ln>
                <a:effectLst/>
              </c:spPr>
            </c:marker>
            <c:bubble3D val="0"/>
            <c:spPr>
              <a:ln w="25400" cap="rnd">
                <a:noFill/>
                <a:round/>
              </a:ln>
              <a:effectLst/>
            </c:spPr>
          </c:dPt>
          <c:dPt>
            <c:idx val="12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lumOff val="20000"/>
                    </a:schemeClr>
                  </a:solidFill>
                </a:ln>
                <a:effectLst/>
              </c:spPr>
            </c:marker>
            <c:bubble3D val="0"/>
            <c:spPr>
              <a:ln w="25400" cap="rnd">
                <a:noFill/>
                <a:round/>
              </a:ln>
              <a:effectLst/>
            </c:spPr>
          </c:dPt>
          <c:dPt>
            <c:idx val="12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lumOff val="20000"/>
                    </a:schemeClr>
                  </a:solidFill>
                </a:ln>
                <a:effectLst/>
              </c:spPr>
            </c:marker>
            <c:bubble3D val="0"/>
            <c:spPr>
              <a:ln w="25400" cap="rnd">
                <a:noFill/>
                <a:round/>
              </a:ln>
              <a:effectLst/>
            </c:spPr>
          </c:dPt>
          <c:dPt>
            <c:idx val="12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lumOff val="20000"/>
                    </a:schemeClr>
                  </a:solidFill>
                </a:ln>
                <a:effectLst/>
              </c:spPr>
            </c:marker>
            <c:bubble3D val="0"/>
            <c:spPr>
              <a:ln w="25400" cap="rnd">
                <a:noFill/>
                <a:round/>
              </a:ln>
              <a:effectLst/>
            </c:spPr>
          </c:dPt>
          <c:dPt>
            <c:idx val="12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schemeClr>
                  </a:solidFill>
                </a:ln>
                <a:effectLst/>
              </c:spPr>
            </c:marker>
            <c:bubble3D val="0"/>
            <c:spPr>
              <a:ln w="25400" cap="rnd">
                <a:noFill/>
                <a:round/>
              </a:ln>
              <a:effectLst/>
            </c:spPr>
          </c:dPt>
          <c:dPt>
            <c:idx val="12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schemeClr>
                  </a:solidFill>
                </a:ln>
                <a:effectLst/>
              </c:spPr>
            </c:marker>
            <c:bubble3D val="0"/>
            <c:spPr>
              <a:ln w="25400" cap="rnd">
                <a:noFill/>
                <a:round/>
              </a:ln>
              <a:effectLst/>
            </c:spPr>
          </c:dPt>
          <c:dPt>
            <c:idx val="12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schemeClr>
                  </a:solidFill>
                </a:ln>
                <a:effectLst/>
              </c:spPr>
            </c:marker>
            <c:bubble3D val="0"/>
            <c:spPr>
              <a:ln w="25400" cap="rnd">
                <a:noFill/>
                <a:round/>
              </a:ln>
              <a:effectLst/>
            </c:spPr>
          </c:dPt>
          <c:dPt>
            <c:idx val="12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schemeClr>
                  </a:solidFill>
                </a:ln>
                <a:effectLst/>
              </c:spPr>
            </c:marker>
            <c:bubble3D val="0"/>
            <c:spPr>
              <a:ln w="25400" cap="rnd">
                <a:noFill/>
                <a:round/>
              </a:ln>
              <a:effectLst/>
            </c:spPr>
          </c:dPt>
          <c:dPt>
            <c:idx val="13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schemeClr>
                  </a:solidFill>
                </a:ln>
                <a:effectLst/>
              </c:spPr>
            </c:marker>
            <c:bubble3D val="0"/>
            <c:spPr>
              <a:ln w="25400" cap="rnd">
                <a:noFill/>
                <a:round/>
              </a:ln>
              <a:effectLst/>
            </c:spPr>
          </c:dPt>
          <c:dPt>
            <c:idx val="13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schemeClr>
                  </a:solidFill>
                </a:ln>
                <a:effectLst/>
              </c:spPr>
            </c:marker>
            <c:bubble3D val="0"/>
            <c:spPr>
              <a:ln w="25400" cap="rnd">
                <a:noFill/>
                <a:round/>
              </a:ln>
              <a:effectLst/>
            </c:spPr>
          </c:dPt>
          <c:dPt>
            <c:idx val="13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lumOff val="40000"/>
                    </a:schemeClr>
                  </a:solidFill>
                </a:ln>
                <a:effectLst/>
              </c:spPr>
            </c:marker>
            <c:bubble3D val="0"/>
            <c:spPr>
              <a:ln w="25400" cap="rnd">
                <a:noFill/>
                <a:round/>
              </a:ln>
              <a:effectLst/>
            </c:spPr>
          </c:dPt>
          <c:dPt>
            <c:idx val="13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lumOff val="40000"/>
                    </a:schemeClr>
                  </a:solidFill>
                </a:ln>
                <a:effectLst/>
              </c:spPr>
            </c:marker>
            <c:bubble3D val="0"/>
            <c:spPr>
              <a:ln w="25400" cap="rnd">
                <a:noFill/>
                <a:round/>
              </a:ln>
              <a:effectLst/>
            </c:spPr>
          </c:dPt>
          <c:dPt>
            <c:idx val="13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lumOff val="40000"/>
                    </a:schemeClr>
                  </a:solidFill>
                </a:ln>
                <a:effectLst/>
              </c:spPr>
            </c:marker>
            <c:bubble3D val="0"/>
            <c:spPr>
              <a:ln w="25400" cap="rnd">
                <a:noFill/>
                <a:round/>
              </a:ln>
              <a:effectLst/>
            </c:spPr>
          </c:dPt>
          <c:dPt>
            <c:idx val="13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lumOff val="40000"/>
                    </a:schemeClr>
                  </a:solidFill>
                </a:ln>
                <a:effectLst/>
              </c:spPr>
            </c:marker>
            <c:bubble3D val="0"/>
            <c:spPr>
              <a:ln w="25400" cap="rnd">
                <a:noFill/>
                <a:round/>
              </a:ln>
              <a:effectLst/>
            </c:spPr>
          </c:dPt>
          <c:dPt>
            <c:idx val="13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lumOff val="40000"/>
                    </a:schemeClr>
                  </a:solidFill>
                </a:ln>
                <a:effectLst/>
              </c:spPr>
            </c:marker>
            <c:bubble3D val="0"/>
            <c:spPr>
              <a:ln w="25400" cap="rnd">
                <a:noFill/>
                <a:round/>
              </a:ln>
              <a:effectLst/>
            </c:spPr>
          </c:dPt>
          <c:dPt>
            <c:idx val="13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lumOff val="40000"/>
                    </a:schemeClr>
                  </a:solidFill>
                </a:ln>
                <a:effectLst/>
              </c:spPr>
            </c:marker>
            <c:bubble3D val="0"/>
            <c:spPr>
              <a:ln w="25400" cap="rnd">
                <a:noFill/>
                <a:round/>
              </a:ln>
              <a:effectLst/>
            </c:spPr>
          </c:dPt>
          <c:dPt>
            <c:idx val="13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schemeClr>
                  </a:solidFill>
                </a:ln>
                <a:effectLst/>
              </c:spPr>
            </c:marker>
            <c:bubble3D val="0"/>
            <c:spPr>
              <a:ln w="25400" cap="rnd">
                <a:noFill/>
                <a:round/>
              </a:ln>
              <a:effectLst/>
            </c:spPr>
          </c:dPt>
          <c:dPt>
            <c:idx val="13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schemeClr>
                  </a:solidFill>
                </a:ln>
                <a:effectLst/>
              </c:spPr>
            </c:marker>
            <c:bubble3D val="0"/>
            <c:spPr>
              <a:ln w="25400" cap="rnd">
                <a:noFill/>
                <a:round/>
              </a:ln>
              <a:effectLst/>
            </c:spPr>
          </c:dPt>
          <c:dPt>
            <c:idx val="14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schemeClr>
                  </a:solidFill>
                </a:ln>
                <a:effectLst/>
              </c:spPr>
            </c:marker>
            <c:bubble3D val="0"/>
            <c:spPr>
              <a:ln w="25400" cap="rnd">
                <a:noFill/>
                <a:round/>
              </a:ln>
              <a:effectLst/>
            </c:spPr>
          </c:dPt>
          <c:dPt>
            <c:idx val="14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schemeClr>
                  </a:solidFill>
                </a:ln>
                <a:effectLst/>
              </c:spPr>
            </c:marker>
            <c:bubble3D val="0"/>
            <c:spPr>
              <a:ln w="25400" cap="rnd">
                <a:noFill/>
                <a:round/>
              </a:ln>
              <a:effectLst/>
            </c:spPr>
          </c:dPt>
          <c:dPt>
            <c:idx val="14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schemeClr>
                  </a:solidFill>
                </a:ln>
                <a:effectLst/>
              </c:spPr>
            </c:marker>
            <c:bubble3D val="0"/>
            <c:spPr>
              <a:ln w="25400" cap="rnd">
                <a:noFill/>
                <a:round/>
              </a:ln>
              <a:effectLst/>
            </c:spPr>
          </c:dPt>
          <c:dPt>
            <c:idx val="14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schemeClr>
                  </a:solidFill>
                </a:ln>
                <a:effectLst/>
              </c:spPr>
            </c:marker>
            <c:bubble3D val="0"/>
            <c:spPr>
              <a:ln w="25400" cap="rnd">
                <a:noFill/>
                <a:round/>
              </a:ln>
              <a:effectLst/>
            </c:spPr>
          </c:dPt>
          <c:dPt>
            <c:idx val="14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lumOff val="30000"/>
                    </a:schemeClr>
                  </a:solidFill>
                </a:ln>
                <a:effectLst/>
              </c:spPr>
            </c:marker>
            <c:bubble3D val="0"/>
            <c:spPr>
              <a:ln w="25400" cap="rnd">
                <a:noFill/>
                <a:round/>
              </a:ln>
              <a:effectLst/>
            </c:spPr>
          </c:dPt>
          <c:dPt>
            <c:idx val="14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lumOff val="30000"/>
                    </a:schemeClr>
                  </a:solidFill>
                </a:ln>
                <a:effectLst/>
              </c:spPr>
            </c:marker>
            <c:bubble3D val="0"/>
            <c:spPr>
              <a:ln w="25400" cap="rnd">
                <a:noFill/>
                <a:round/>
              </a:ln>
              <a:effectLst/>
            </c:spPr>
          </c:dPt>
          <c:dPt>
            <c:idx val="14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lumOff val="30000"/>
                    </a:schemeClr>
                  </a:solidFill>
                </a:ln>
                <a:effectLst/>
              </c:spPr>
            </c:marker>
            <c:bubble3D val="0"/>
            <c:spPr>
              <a:ln w="25400" cap="rnd">
                <a:noFill/>
                <a:round/>
              </a:ln>
              <a:effectLst/>
            </c:spPr>
          </c:dPt>
          <c:dPt>
            <c:idx val="14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lumOff val="30000"/>
                    </a:schemeClr>
                  </a:solidFill>
                </a:ln>
                <a:effectLst/>
              </c:spPr>
            </c:marker>
            <c:bubble3D val="0"/>
            <c:spPr>
              <a:ln w="25400" cap="rnd">
                <a:noFill/>
                <a:round/>
              </a:ln>
              <a:effectLst/>
            </c:spPr>
          </c:dPt>
          <c:dPt>
            <c:idx val="14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lumOff val="30000"/>
                    </a:schemeClr>
                  </a:solidFill>
                </a:ln>
                <a:effectLst/>
              </c:spPr>
            </c:marker>
            <c:bubble3D val="0"/>
            <c:spPr>
              <a:ln w="25400" cap="rnd">
                <a:noFill/>
                <a:round/>
              </a:ln>
              <a:effectLst/>
            </c:spPr>
          </c:dPt>
          <c:dPt>
            <c:idx val="14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lumOff val="30000"/>
                    </a:schemeClr>
                  </a:solidFill>
                </a:ln>
                <a:effectLst/>
              </c:spPr>
            </c:marker>
            <c:bubble3D val="0"/>
            <c:spPr>
              <a:ln w="25400" cap="rnd">
                <a:noFill/>
                <a:round/>
              </a:ln>
              <a:effectLst/>
            </c:spPr>
          </c:dPt>
          <c:dPt>
            <c:idx val="15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schemeClr>
                  </a:solidFill>
                </a:ln>
                <a:effectLst/>
              </c:spPr>
            </c:marker>
            <c:bubble3D val="0"/>
            <c:spPr>
              <a:ln w="25400" cap="rnd">
                <a:noFill/>
                <a:round/>
              </a:ln>
              <a:effectLst/>
            </c:spPr>
          </c:dPt>
          <c:dPt>
            <c:idx val="15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schemeClr>
                  </a:solidFill>
                </a:ln>
                <a:effectLst/>
              </c:spPr>
            </c:marker>
            <c:bubble3D val="0"/>
            <c:spPr>
              <a:ln w="25400" cap="rnd">
                <a:noFill/>
                <a:round/>
              </a:ln>
              <a:effectLst/>
            </c:spPr>
          </c:dPt>
          <c:dPt>
            <c:idx val="15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schemeClr>
                  </a:solidFill>
                </a:ln>
                <a:effectLst/>
              </c:spPr>
            </c:marker>
            <c:bubble3D val="0"/>
            <c:spPr>
              <a:ln w="25400" cap="rnd">
                <a:noFill/>
                <a:round/>
              </a:ln>
              <a:effectLst/>
            </c:spPr>
          </c:dPt>
          <c:dPt>
            <c:idx val="15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schemeClr>
                  </a:solidFill>
                </a:ln>
                <a:effectLst/>
              </c:spPr>
            </c:marker>
            <c:bubble3D val="0"/>
            <c:spPr>
              <a:ln w="25400" cap="rnd">
                <a:noFill/>
                <a:round/>
              </a:ln>
              <a:effectLst/>
            </c:spPr>
          </c:dPt>
          <c:dPt>
            <c:idx val="15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schemeClr>
                  </a:solidFill>
                </a:ln>
                <a:effectLst/>
              </c:spPr>
            </c:marker>
            <c:bubble3D val="0"/>
            <c:spPr>
              <a:ln w="25400" cap="rnd">
                <a:noFill/>
                <a:round/>
              </a:ln>
              <a:effectLst/>
            </c:spPr>
          </c:dPt>
          <c:dPt>
            <c:idx val="15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schemeClr>
                  </a:solidFill>
                </a:ln>
                <a:effectLst/>
              </c:spPr>
            </c:marker>
            <c:bubble3D val="0"/>
            <c:spPr>
              <a:ln w="25400" cap="rnd">
                <a:noFill/>
                <a:round/>
              </a:ln>
              <a:effectLst/>
            </c:spPr>
          </c:dPt>
          <c:dPt>
            <c:idx val="15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lumOff val="50000"/>
                    </a:schemeClr>
                  </a:solidFill>
                </a:ln>
                <a:effectLst/>
              </c:spPr>
            </c:marker>
            <c:bubble3D val="0"/>
            <c:spPr>
              <a:ln w="25400" cap="rnd">
                <a:noFill/>
                <a:round/>
              </a:ln>
              <a:effectLst/>
            </c:spPr>
          </c:dPt>
          <c:dPt>
            <c:idx val="15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lumOff val="50000"/>
                    </a:schemeClr>
                  </a:solidFill>
                </a:ln>
                <a:effectLst/>
              </c:spPr>
            </c:marker>
            <c:bubble3D val="0"/>
            <c:spPr>
              <a:ln w="25400" cap="rnd">
                <a:noFill/>
                <a:round/>
              </a:ln>
              <a:effectLst/>
            </c:spPr>
          </c:dPt>
          <c:dPt>
            <c:idx val="15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lumOff val="50000"/>
                    </a:schemeClr>
                  </a:solidFill>
                </a:ln>
                <a:effectLst/>
              </c:spPr>
            </c:marker>
            <c:bubble3D val="0"/>
            <c:spPr>
              <a:ln w="25400" cap="rnd">
                <a:noFill/>
                <a:round/>
              </a:ln>
              <a:effectLst/>
            </c:spPr>
          </c:dPt>
          <c:dPt>
            <c:idx val="15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lumOff val="50000"/>
                    </a:schemeClr>
                  </a:solidFill>
                </a:ln>
                <a:effectLst/>
              </c:spPr>
            </c:marker>
            <c:bubble3D val="0"/>
            <c:spPr>
              <a:ln w="25400" cap="rnd">
                <a:noFill/>
                <a:round/>
              </a:ln>
              <a:effectLst/>
            </c:spPr>
          </c:dPt>
          <c:dPt>
            <c:idx val="16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lumOff val="50000"/>
                    </a:schemeClr>
                  </a:solidFill>
                </a:ln>
                <a:effectLst/>
              </c:spPr>
            </c:marker>
            <c:bubble3D val="0"/>
            <c:spPr>
              <a:ln w="25400" cap="rnd">
                <a:noFill/>
                <a:round/>
              </a:ln>
              <a:effectLst/>
            </c:spPr>
          </c:dPt>
          <c:dPt>
            <c:idx val="16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lumOff val="50000"/>
                    </a:schemeClr>
                  </a:solidFill>
                </a:ln>
                <a:effectLst/>
              </c:spPr>
            </c:marker>
            <c:bubble3D val="0"/>
            <c:spPr>
              <a:ln w="25400" cap="rnd">
                <a:noFill/>
                <a:round/>
              </a:ln>
              <a:effectLst/>
            </c:spPr>
          </c:dPt>
          <c:dPt>
            <c:idx val="16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bubble3D val="0"/>
            <c:spPr>
              <a:ln w="25400" cap="rnd">
                <a:noFill/>
                <a:round/>
              </a:ln>
              <a:effectLst/>
            </c:spPr>
          </c:dPt>
          <c:dPt>
            <c:idx val="16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solidFill>
                </a:ln>
                <a:effectLst/>
              </c:spPr>
            </c:marker>
            <c:bubble3D val="0"/>
            <c:spPr>
              <a:ln w="25400" cap="rnd">
                <a:noFill/>
                <a:round/>
              </a:ln>
              <a:effectLst/>
            </c:spPr>
          </c:dPt>
          <c:dPt>
            <c:idx val="16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solidFill>
                </a:ln>
                <a:effectLst/>
              </c:spPr>
            </c:marker>
            <c:bubble3D val="0"/>
            <c:spPr>
              <a:ln w="25400" cap="rnd">
                <a:noFill/>
                <a:round/>
              </a:ln>
              <a:effectLst/>
            </c:spPr>
          </c:dPt>
          <c:dPt>
            <c:idx val="16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solidFill>
                </a:ln>
                <a:effectLst/>
              </c:spPr>
            </c:marker>
            <c:bubble3D val="0"/>
            <c:spPr>
              <a:ln w="25400" cap="rnd">
                <a:noFill/>
                <a:round/>
              </a:ln>
              <a:effectLst/>
            </c:spPr>
          </c:dPt>
          <c:dPt>
            <c:idx val="16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solidFill>
                </a:ln>
                <a:effectLst/>
              </c:spPr>
            </c:marker>
            <c:bubble3D val="0"/>
            <c:spPr>
              <a:ln w="25400" cap="rnd">
                <a:noFill/>
                <a:round/>
              </a:ln>
              <a:effectLst/>
            </c:spPr>
          </c:dPt>
          <c:dPt>
            <c:idx val="16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solidFill>
                </a:ln>
                <a:effectLst/>
              </c:spPr>
            </c:marker>
            <c:bubble3D val="0"/>
            <c:spPr>
              <a:ln w="25400" cap="rnd">
                <a:noFill/>
                <a:round/>
              </a:ln>
              <a:effectLst/>
            </c:spPr>
          </c:dPt>
          <c:dPt>
            <c:idx val="16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schemeClr>
                  </a:solidFill>
                </a:ln>
                <a:effectLst/>
              </c:spPr>
            </c:marker>
            <c:bubble3D val="0"/>
            <c:spPr>
              <a:ln w="25400" cap="rnd">
                <a:noFill/>
                <a:round/>
              </a:ln>
              <a:effectLst/>
            </c:spPr>
          </c:dPt>
          <c:dPt>
            <c:idx val="16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schemeClr>
                  </a:solidFill>
                </a:ln>
                <a:effectLst/>
              </c:spPr>
            </c:marker>
            <c:bubble3D val="0"/>
            <c:spPr>
              <a:ln w="25400" cap="rnd">
                <a:noFill/>
                <a:round/>
              </a:ln>
              <a:effectLst/>
            </c:spPr>
          </c:dPt>
          <c:dPt>
            <c:idx val="17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schemeClr>
                  </a:solidFill>
                </a:ln>
                <a:effectLst/>
              </c:spPr>
            </c:marker>
            <c:bubble3D val="0"/>
            <c:spPr>
              <a:ln w="25400" cap="rnd">
                <a:noFill/>
                <a:round/>
              </a:ln>
              <a:effectLst/>
            </c:spPr>
          </c:dPt>
          <c:xVal>
            <c:numRef>
              <c:f>'for chart3'!$E$2:$E$172</c:f>
              <c:numCache>
                <c:formatCode>General</c:formatCode>
                <c:ptCount val="17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numCache>
            </c:numRef>
          </c:xVal>
          <c:yVal>
            <c:numRef>
              <c:f>'for chart3'!$C$2:$C$172</c:f>
              <c:numCache>
                <c:formatCode>0.00</c:formatCode>
                <c:ptCount val="171"/>
                <c:pt idx="0">
                  <c:v>0.995818341</c:v>
                </c:pt>
                <c:pt idx="1">
                  <c:v>0.99368732000000004</c:v>
                </c:pt>
                <c:pt idx="2">
                  <c:v>0.99267584099999995</c:v>
                </c:pt>
                <c:pt idx="3">
                  <c:v>0.98455073000000004</c:v>
                </c:pt>
                <c:pt idx="4">
                  <c:v>0.98291508400000005</c:v>
                </c:pt>
                <c:pt idx="5">
                  <c:v>0.98180859099999995</c:v>
                </c:pt>
                <c:pt idx="6">
                  <c:v>0.976626039</c:v>
                </c:pt>
                <c:pt idx="7">
                  <c:v>0.97173762100000005</c:v>
                </c:pt>
                <c:pt idx="8">
                  <c:v>0.96935964399999996</c:v>
                </c:pt>
                <c:pt idx="9">
                  <c:v>0.96224240299999997</c:v>
                </c:pt>
                <c:pt idx="10">
                  <c:v>0.96152926800000005</c:v>
                </c:pt>
                <c:pt idx="11">
                  <c:v>0.94561400900000003</c:v>
                </c:pt>
                <c:pt idx="12">
                  <c:v>0.93547929100000005</c:v>
                </c:pt>
                <c:pt idx="13">
                  <c:v>0.93295322199999997</c:v>
                </c:pt>
                <c:pt idx="14">
                  <c:v>0.93066506400000004</c:v>
                </c:pt>
                <c:pt idx="15">
                  <c:v>0.93047618200000004</c:v>
                </c:pt>
                <c:pt idx="16">
                  <c:v>0.92689101799999996</c:v>
                </c:pt>
                <c:pt idx="17">
                  <c:v>0.92424630200000002</c:v>
                </c:pt>
                <c:pt idx="18">
                  <c:v>0.91989927199999999</c:v>
                </c:pt>
                <c:pt idx="19">
                  <c:v>0.91827181700000005</c:v>
                </c:pt>
                <c:pt idx="20">
                  <c:v>0.91542589399999996</c:v>
                </c:pt>
                <c:pt idx="21">
                  <c:v>0.91400032499999995</c:v>
                </c:pt>
                <c:pt idx="22">
                  <c:v>0.91232318199999995</c:v>
                </c:pt>
                <c:pt idx="23">
                  <c:v>0.90026441499999998</c:v>
                </c:pt>
                <c:pt idx="24">
                  <c:v>0.89799747399999996</c:v>
                </c:pt>
                <c:pt idx="25">
                  <c:v>0.89571852900000004</c:v>
                </c:pt>
                <c:pt idx="26">
                  <c:v>0.89019970199999998</c:v>
                </c:pt>
                <c:pt idx="27">
                  <c:v>0.87802830899999995</c:v>
                </c:pt>
                <c:pt idx="28">
                  <c:v>0.87523736200000002</c:v>
                </c:pt>
                <c:pt idx="29">
                  <c:v>0.87079795599999998</c:v>
                </c:pt>
                <c:pt idx="30">
                  <c:v>0.84652382000000004</c:v>
                </c:pt>
                <c:pt idx="31">
                  <c:v>0.84187201899999997</c:v>
                </c:pt>
                <c:pt idx="32">
                  <c:v>0.80561452899999997</c:v>
                </c:pt>
                <c:pt idx="33">
                  <c:v>0.78229312500000003</c:v>
                </c:pt>
                <c:pt idx="34">
                  <c:v>0.77321032300000003</c:v>
                </c:pt>
                <c:pt idx="35">
                  <c:v>0.75872503899999999</c:v>
                </c:pt>
                <c:pt idx="36">
                  <c:v>0.74209372900000004</c:v>
                </c:pt>
                <c:pt idx="37">
                  <c:v>0.74131938500000005</c:v>
                </c:pt>
                <c:pt idx="38">
                  <c:v>0.74058606199999999</c:v>
                </c:pt>
                <c:pt idx="39">
                  <c:v>0.74002958900000004</c:v>
                </c:pt>
                <c:pt idx="40">
                  <c:v>0.73080751200000005</c:v>
                </c:pt>
                <c:pt idx="41">
                  <c:v>0.71655983300000003</c:v>
                </c:pt>
                <c:pt idx="42">
                  <c:v>0.71120256199999998</c:v>
                </c:pt>
                <c:pt idx="43">
                  <c:v>0.70256608399999998</c:v>
                </c:pt>
                <c:pt idx="44">
                  <c:v>0.69592891099999998</c:v>
                </c:pt>
                <c:pt idx="45">
                  <c:v>0.68493674400000004</c:v>
                </c:pt>
                <c:pt idx="46">
                  <c:v>0.67684243099999997</c:v>
                </c:pt>
                <c:pt idx="47">
                  <c:v>0.67207541900000001</c:v>
                </c:pt>
                <c:pt idx="48">
                  <c:v>0.67096561300000002</c:v>
                </c:pt>
                <c:pt idx="49">
                  <c:v>0.66664087800000005</c:v>
                </c:pt>
                <c:pt idx="50">
                  <c:v>0.65211393100000004</c:v>
                </c:pt>
                <c:pt idx="51">
                  <c:v>0.65198428200000003</c:v>
                </c:pt>
                <c:pt idx="52">
                  <c:v>0.65006964</c:v>
                </c:pt>
                <c:pt idx="53">
                  <c:v>0.645275559</c:v>
                </c:pt>
                <c:pt idx="54">
                  <c:v>0.64081364299999999</c:v>
                </c:pt>
                <c:pt idx="55">
                  <c:v>0.63418148500000004</c:v>
                </c:pt>
                <c:pt idx="56">
                  <c:v>0.62073815200000004</c:v>
                </c:pt>
                <c:pt idx="57">
                  <c:v>0.61835128299999997</c:v>
                </c:pt>
                <c:pt idx="58">
                  <c:v>0.61616607000000001</c:v>
                </c:pt>
                <c:pt idx="59">
                  <c:v>0.60326782599999995</c:v>
                </c:pt>
                <c:pt idx="60">
                  <c:v>0.60070325899999999</c:v>
                </c:pt>
                <c:pt idx="61">
                  <c:v>0.59025980600000005</c:v>
                </c:pt>
                <c:pt idx="62">
                  <c:v>0.58781558499999997</c:v>
                </c:pt>
                <c:pt idx="63">
                  <c:v>0.58374119899999999</c:v>
                </c:pt>
                <c:pt idx="64">
                  <c:v>0.57819416899999998</c:v>
                </c:pt>
                <c:pt idx="65">
                  <c:v>0.56839800299999999</c:v>
                </c:pt>
                <c:pt idx="66">
                  <c:v>0.56672533700000005</c:v>
                </c:pt>
                <c:pt idx="67">
                  <c:v>0.55363314299999999</c:v>
                </c:pt>
                <c:pt idx="68">
                  <c:v>0.55307086599999999</c:v>
                </c:pt>
                <c:pt idx="69">
                  <c:v>0.54860160499999999</c:v>
                </c:pt>
                <c:pt idx="70">
                  <c:v>0.54656646799999997</c:v>
                </c:pt>
                <c:pt idx="71">
                  <c:v>0.54120248900000001</c:v>
                </c:pt>
                <c:pt idx="72">
                  <c:v>0.53831151499999996</c:v>
                </c:pt>
                <c:pt idx="73">
                  <c:v>0.52858790899999997</c:v>
                </c:pt>
                <c:pt idx="74">
                  <c:v>0.527855034</c:v>
                </c:pt>
                <c:pt idx="75">
                  <c:v>0.52342059100000005</c:v>
                </c:pt>
                <c:pt idx="76">
                  <c:v>0.51627057600000004</c:v>
                </c:pt>
                <c:pt idx="77">
                  <c:v>0.50228965699999994</c:v>
                </c:pt>
                <c:pt idx="78">
                  <c:v>0.498955223</c:v>
                </c:pt>
                <c:pt idx="79">
                  <c:v>0.49668289199999999</c:v>
                </c:pt>
                <c:pt idx="80">
                  <c:v>0.45788331399999999</c:v>
                </c:pt>
                <c:pt idx="81">
                  <c:v>0.44819383800000001</c:v>
                </c:pt>
                <c:pt idx="82">
                  <c:v>0.447176254</c:v>
                </c:pt>
                <c:pt idx="83">
                  <c:v>0.44066025199999997</c:v>
                </c:pt>
                <c:pt idx="84">
                  <c:v>0.43941938899999999</c:v>
                </c:pt>
                <c:pt idx="85">
                  <c:v>0.43710756299999998</c:v>
                </c:pt>
                <c:pt idx="86">
                  <c:v>0.426831919</c:v>
                </c:pt>
                <c:pt idx="87">
                  <c:v>0.42155991300000001</c:v>
                </c:pt>
                <c:pt idx="88">
                  <c:v>0.41997964500000001</c:v>
                </c:pt>
                <c:pt idx="89">
                  <c:v>0.41435639600000002</c:v>
                </c:pt>
                <c:pt idx="90">
                  <c:v>0.41214548400000001</c:v>
                </c:pt>
                <c:pt idx="91">
                  <c:v>0.410204126</c:v>
                </c:pt>
                <c:pt idx="92">
                  <c:v>0.405409348</c:v>
                </c:pt>
                <c:pt idx="93">
                  <c:v>0.39896640700000002</c:v>
                </c:pt>
                <c:pt idx="94">
                  <c:v>0.39140945700000002</c:v>
                </c:pt>
                <c:pt idx="95">
                  <c:v>0.39075432599999999</c:v>
                </c:pt>
                <c:pt idx="96">
                  <c:v>0.38323118499999997</c:v>
                </c:pt>
                <c:pt idx="97">
                  <c:v>0.370783535</c:v>
                </c:pt>
                <c:pt idx="98">
                  <c:v>0.367513064</c:v>
                </c:pt>
                <c:pt idx="99">
                  <c:v>0.36131901900000002</c:v>
                </c:pt>
                <c:pt idx="100">
                  <c:v>0.35499451799999998</c:v>
                </c:pt>
                <c:pt idx="101">
                  <c:v>0.35179983199999998</c:v>
                </c:pt>
                <c:pt idx="102">
                  <c:v>0.33676245500000002</c:v>
                </c:pt>
                <c:pt idx="103">
                  <c:v>0.33492182100000001</c:v>
                </c:pt>
                <c:pt idx="104">
                  <c:v>0.33352963800000002</c:v>
                </c:pt>
                <c:pt idx="105">
                  <c:v>0.324751183</c:v>
                </c:pt>
                <c:pt idx="106">
                  <c:v>0.31687858899999999</c:v>
                </c:pt>
                <c:pt idx="107">
                  <c:v>0.31431543899999997</c:v>
                </c:pt>
                <c:pt idx="108">
                  <c:v>0.31236544599999999</c:v>
                </c:pt>
                <c:pt idx="109">
                  <c:v>0.30997823200000002</c:v>
                </c:pt>
                <c:pt idx="110">
                  <c:v>0.30839266900000001</c:v>
                </c:pt>
                <c:pt idx="111">
                  <c:v>0.30343725799999999</c:v>
                </c:pt>
                <c:pt idx="112">
                  <c:v>0.30125955700000001</c:v>
                </c:pt>
                <c:pt idx="113">
                  <c:v>0.29846032099999997</c:v>
                </c:pt>
                <c:pt idx="114">
                  <c:v>0.298094474</c:v>
                </c:pt>
                <c:pt idx="115">
                  <c:v>0.28976552799999999</c:v>
                </c:pt>
                <c:pt idx="116">
                  <c:v>0.28956533800000001</c:v>
                </c:pt>
                <c:pt idx="117">
                  <c:v>0.28739624800000002</c:v>
                </c:pt>
                <c:pt idx="118">
                  <c:v>0.28396193400000003</c:v>
                </c:pt>
                <c:pt idx="119">
                  <c:v>0.27622296800000001</c:v>
                </c:pt>
                <c:pt idx="120">
                  <c:v>0.260790085</c:v>
                </c:pt>
                <c:pt idx="121">
                  <c:v>0.25628356499999999</c:v>
                </c:pt>
                <c:pt idx="122">
                  <c:v>0.25210090400000001</c:v>
                </c:pt>
                <c:pt idx="123">
                  <c:v>0.25134441899999999</c:v>
                </c:pt>
                <c:pt idx="124">
                  <c:v>0.24086591800000001</c:v>
                </c:pt>
                <c:pt idx="125">
                  <c:v>0.232883439</c:v>
                </c:pt>
                <c:pt idx="126">
                  <c:v>0.211618003</c:v>
                </c:pt>
                <c:pt idx="127">
                  <c:v>0.17345777900000001</c:v>
                </c:pt>
                <c:pt idx="128">
                  <c:v>0.16982841400000001</c:v>
                </c:pt>
                <c:pt idx="129">
                  <c:v>0.150677476</c:v>
                </c:pt>
                <c:pt idx="130">
                  <c:v>0.135431262</c:v>
                </c:pt>
                <c:pt idx="131">
                  <c:v>0.13022499500000001</c:v>
                </c:pt>
                <c:pt idx="132">
                  <c:v>0.114778964</c:v>
                </c:pt>
                <c:pt idx="133">
                  <c:v>0.106983177</c:v>
                </c:pt>
                <c:pt idx="134">
                  <c:v>7.0874063000000001E-2</c:v>
                </c:pt>
                <c:pt idx="135">
                  <c:v>-2.0199102E-2</c:v>
                </c:pt>
                <c:pt idx="136">
                  <c:v>-2.2670682000000001E-2</c:v>
                </c:pt>
                <c:pt idx="137">
                  <c:v>-2.5310794000000001E-2</c:v>
                </c:pt>
                <c:pt idx="138">
                  <c:v>-5.993333E-2</c:v>
                </c:pt>
                <c:pt idx="139">
                  <c:v>-0.136154094</c:v>
                </c:pt>
                <c:pt idx="140">
                  <c:v>-0.14695154199999999</c:v>
                </c:pt>
                <c:pt idx="141">
                  <c:v>-0.14903408200000001</c:v>
                </c:pt>
                <c:pt idx="142">
                  <c:v>-0.15376958399999999</c:v>
                </c:pt>
                <c:pt idx="143">
                  <c:v>-0.184231229</c:v>
                </c:pt>
                <c:pt idx="144">
                  <c:v>-0.19937563699999999</c:v>
                </c:pt>
                <c:pt idx="145">
                  <c:v>-0.199710531</c:v>
                </c:pt>
                <c:pt idx="146">
                  <c:v>-0.20139890299999999</c:v>
                </c:pt>
                <c:pt idx="147">
                  <c:v>-0.20264354000000001</c:v>
                </c:pt>
                <c:pt idx="148">
                  <c:v>-0.218202389</c:v>
                </c:pt>
                <c:pt idx="149">
                  <c:v>-0.26121279400000003</c:v>
                </c:pt>
                <c:pt idx="150">
                  <c:v>-0.28226450400000003</c:v>
                </c:pt>
                <c:pt idx="151">
                  <c:v>-0.32612304600000003</c:v>
                </c:pt>
                <c:pt idx="152">
                  <c:v>-0.33603715099999998</c:v>
                </c:pt>
                <c:pt idx="153">
                  <c:v>-0.339729583</c:v>
                </c:pt>
                <c:pt idx="154">
                  <c:v>-0.39301572099999998</c:v>
                </c:pt>
                <c:pt idx="155">
                  <c:v>-0.40822434200000002</c:v>
                </c:pt>
                <c:pt idx="156">
                  <c:v>-0.41786233099999998</c:v>
                </c:pt>
                <c:pt idx="157">
                  <c:v>-0.42854584800000001</c:v>
                </c:pt>
                <c:pt idx="158">
                  <c:v>-0.447612022</c:v>
                </c:pt>
                <c:pt idx="159">
                  <c:v>-0.46600868699999998</c:v>
                </c:pt>
                <c:pt idx="160">
                  <c:v>-0.48709780000000003</c:v>
                </c:pt>
                <c:pt idx="161">
                  <c:v>-0.52533537799999996</c:v>
                </c:pt>
                <c:pt idx="162">
                  <c:v>-0.53312208100000003</c:v>
                </c:pt>
                <c:pt idx="163">
                  <c:v>-0.53378551500000004</c:v>
                </c:pt>
                <c:pt idx="164">
                  <c:v>-0.54677941699999999</c:v>
                </c:pt>
                <c:pt idx="165">
                  <c:v>-0.55144424599999997</c:v>
                </c:pt>
                <c:pt idx="166">
                  <c:v>-0.56066499800000003</c:v>
                </c:pt>
                <c:pt idx="167">
                  <c:v>-0.56867321100000001</c:v>
                </c:pt>
                <c:pt idx="168">
                  <c:v>-0.57087790800000004</c:v>
                </c:pt>
                <c:pt idx="169">
                  <c:v>-0.57601878200000001</c:v>
                </c:pt>
                <c:pt idx="170">
                  <c:v>-0.64237169100000002</c:v>
                </c:pt>
              </c:numCache>
            </c:numRef>
          </c:yVal>
          <c:smooth val="0"/>
          <c:extLst>
            <c:ext xmlns:c16="http://schemas.microsoft.com/office/drawing/2014/chart" uri="{C3380CC4-5D6E-409C-BE32-E72D297353CC}">
              <c16:uniqueId val="{00000000-7D98-B84D-A448-1CBA9117ECB2}"/>
            </c:ext>
          </c:extLst>
        </c:ser>
        <c:dLbls>
          <c:showLegendKey val="0"/>
          <c:showVal val="0"/>
          <c:showCatName val="0"/>
          <c:showSerName val="0"/>
          <c:showPercent val="0"/>
          <c:showBubbleSize val="0"/>
        </c:dLbls>
        <c:axId val="1014505984"/>
        <c:axId val="1059842272"/>
      </c:scatterChart>
      <c:valAx>
        <c:axId val="1014505984"/>
        <c:scaling>
          <c:orientation val="minMax"/>
          <c:max val="172"/>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Number</a:t>
                </a:r>
                <a:r>
                  <a:rPr lang="en-GB" baseline="0"/>
                  <a:t> of Correlations Between Variables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9842272"/>
        <c:crosses val="autoZero"/>
        <c:crossBetween val="midCat"/>
      </c:valAx>
      <c:valAx>
        <c:axId val="1059842272"/>
        <c:scaling>
          <c:orientation val="minMax"/>
          <c:max val="1"/>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Correlation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4505984"/>
        <c:crosses val="autoZero"/>
        <c:crossBetween val="midCat"/>
      </c:valAx>
      <c:spPr>
        <a:noFill/>
        <a:ln>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38F144E-7F4C-4549-979E-682BFF4A0CEA}">
  <sheetPr/>
  <sheetViews>
    <sheetView zoomScale="150" workbookViewId="0"/>
  </sheetViews>
  <pageMargins left="0.7" right="0.7" top="0.75" bottom="0.75" header="0.3" footer="0.3"/>
  <drawing r:id="rId1"/>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575733</xdr:colOff>
      <xdr:row>24</xdr:row>
      <xdr:rowOff>16933</xdr:rowOff>
    </xdr:from>
    <xdr:to>
      <xdr:col>1</xdr:col>
      <xdr:colOff>738091</xdr:colOff>
      <xdr:row>52</xdr:row>
      <xdr:rowOff>104519</xdr:rowOff>
    </xdr:to>
    <mc:AlternateContent xmlns:mc="http://schemas.openxmlformats.org/markup-compatibility/2006">
      <mc:Choice xmlns:a14="http://schemas.microsoft.com/office/drawing/2010/main" Requires="a14">
        <xdr:graphicFrame macro="">
          <xdr:nvGraphicFramePr>
            <xdr:cNvPr id="4" name="Variable 1">
              <a:extLst>
                <a:ext uri="{FF2B5EF4-FFF2-40B4-BE49-F238E27FC236}">
                  <a16:creationId xmlns:a16="http://schemas.microsoft.com/office/drawing/2014/main" id="{84503013-C5AD-D23E-ABFD-0F9004FC0F27}"/>
                </a:ext>
              </a:extLst>
            </xdr:cNvPr>
            <xdr:cNvGraphicFramePr/>
          </xdr:nvGraphicFramePr>
          <xdr:xfrm>
            <a:off x="0" y="0"/>
            <a:ext cx="0" cy="0"/>
          </xdr:xfrm>
          <a:graphic>
            <a:graphicData uri="http://schemas.microsoft.com/office/drawing/2010/slicer">
              <sle:slicer xmlns:sle="http://schemas.microsoft.com/office/drawing/2010/slicer" name="Variable 1"/>
            </a:graphicData>
          </a:graphic>
        </xdr:graphicFrame>
      </mc:Choice>
      <mc:Fallback>
        <xdr:sp macro="" textlink="">
          <xdr:nvSpPr>
            <xdr:cNvPr id="0" name=""/>
            <xdr:cNvSpPr>
              <a:spLocks noTextEdit="1"/>
            </xdr:cNvSpPr>
          </xdr:nvSpPr>
          <xdr:spPr>
            <a:xfrm>
              <a:off x="575733" y="4513982"/>
              <a:ext cx="5679571" cy="533414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1255153</xdr:colOff>
      <xdr:row>24</xdr:row>
      <xdr:rowOff>48785</xdr:rowOff>
    </xdr:from>
    <xdr:to>
      <xdr:col>2</xdr:col>
      <xdr:colOff>2203186</xdr:colOff>
      <xdr:row>51</xdr:row>
      <xdr:rowOff>133781</xdr:rowOff>
    </xdr:to>
    <mc:AlternateContent xmlns:mc="http://schemas.openxmlformats.org/markup-compatibility/2006">
      <mc:Choice xmlns:a14="http://schemas.microsoft.com/office/drawing/2010/main" Requires="a14">
        <xdr:graphicFrame macro="">
          <xdr:nvGraphicFramePr>
            <xdr:cNvPr id="5" name="Variable 2">
              <a:extLst>
                <a:ext uri="{FF2B5EF4-FFF2-40B4-BE49-F238E27FC236}">
                  <a16:creationId xmlns:a16="http://schemas.microsoft.com/office/drawing/2014/main" id="{4E7F7859-D6CE-FCFC-F791-78AC2BCBF123}"/>
                </a:ext>
              </a:extLst>
            </xdr:cNvPr>
            <xdr:cNvGraphicFramePr/>
          </xdr:nvGraphicFramePr>
          <xdr:xfrm>
            <a:off x="0" y="0"/>
            <a:ext cx="0" cy="0"/>
          </xdr:xfrm>
          <a:graphic>
            <a:graphicData uri="http://schemas.microsoft.com/office/drawing/2010/slicer">
              <sle:slicer xmlns:sle="http://schemas.microsoft.com/office/drawing/2010/slicer" name="Variable 2"/>
            </a:graphicData>
          </a:graphic>
        </xdr:graphicFrame>
      </mc:Choice>
      <mc:Fallback>
        <xdr:sp macro="" textlink="">
          <xdr:nvSpPr>
            <xdr:cNvPr id="0" name=""/>
            <xdr:cNvSpPr>
              <a:spLocks noTextEdit="1"/>
            </xdr:cNvSpPr>
          </xdr:nvSpPr>
          <xdr:spPr>
            <a:xfrm>
              <a:off x="6772366" y="4545834"/>
              <a:ext cx="5799017" cy="514417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0" y="0"/>
    <xdr:ext cx="9298214" cy="6059714"/>
    <xdr:graphicFrame macro="">
      <xdr:nvGraphicFramePr>
        <xdr:cNvPr id="2" name="Chart 1">
          <a:extLst>
            <a:ext uri="{FF2B5EF4-FFF2-40B4-BE49-F238E27FC236}">
              <a16:creationId xmlns:a16="http://schemas.microsoft.com/office/drawing/2014/main" id="{5B2446AE-F792-D650-8F83-BA964F14C47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712.85418101852" createdVersion="8" refreshedVersion="8" minRefreshableVersion="3" recordCount="341" xr:uid="{5606ACBB-3376-6648-9ECD-794F8AFD257E}">
  <cacheSource type="worksheet">
    <worksheetSource ref="A1:C340" sheet="unique correlations"/>
  </cacheSource>
  <cacheFields count="3">
    <cacheField name="Variable 1" numFmtId="0">
      <sharedItems count="19">
        <s v="Average_Price_Chicken_Breast_Boneless_Cost_per_Pound4536_Grams_in_US_City_Average"/>
        <s v="Average_Price_Chicken_Fresh_Whole_Cost_per_Pound4536_Grams_in_US_City_Average"/>
        <s v="Average_Price_Milk_Fresh_Whole_Fortified_Cost_per_Gallon38_Liters_in_US_City_Average"/>
        <s v="Consumer_Price_Index_for_All_Urban_Consumers_All_Items_in_US_City_Average"/>
        <s v="Consumer_Price_Index_for_All_Urban_Consumers_Energy_Services_in_US_City_Average"/>
        <s v="Consumer_Price_Index_for_All_Urban_Consumers_Food_in_US_City_Average"/>
        <s v="Federal_Funds_Effective_Rate"/>
        <s v="Personal_Consumption_Expenditures"/>
        <s v="Producer_Price_Index_by_Commodity_Farm_Products_Corn"/>
        <s v="Producer_Price_Index_by_Commodity_Farm_Products_Soybeans"/>
        <s v="Producer_Price_Index_by_Commodity_Processed_Foods_and_Feeds_Chicken_and_Turkey_Feed_Supplements__________Concentrates_and_Premixes"/>
        <s v="Real_Disposable_Personal_Income"/>
        <s v="Retail_Sales_Restaurants_and_Other_Eating_Places"/>
        <s v="Retail_Sales_Retail_Trade_and_Food_Services"/>
        <s v="Unemployment_Rate"/>
        <s v="University_of_Michigan_Consumer_Sentiment"/>
        <s v="US_Diesel_Sales_Price"/>
        <s v="US_Regular_All_Formulations_Gas_Price"/>
        <s v="Average_Price_Eggs_Grade_A_Large_Cost_per_Dozen_in_US_City_Average"/>
      </sharedItems>
    </cacheField>
    <cacheField name="Variable 2" numFmtId="0">
      <sharedItems count="18">
        <s v="Average_Price_Eggs_Grade_A_Large_Cost_per_Dozen_in_US_City_Average"/>
        <s v="Average_Price_Chicken_Breast_Boneless_Cost_per_Pound4536_Grams_in_US_City_Average"/>
        <s v="Average_Price_Chicken_Fresh_Whole_Cost_per_Pound4536_Grams_in_US_City_Average"/>
        <s v="Average_Price_Milk_Fresh_Whole_Fortified_Cost_per_Gallon38_Liters_in_US_City_Average"/>
        <s v="Consumer_Price_Index_for_All_Urban_Consumers_All_Items_in_US_City_Average"/>
        <s v="Consumer_Price_Index_for_All_Urban_Consumers_Energy_Services_in_US_City_Average"/>
        <s v="Consumer_Price_Index_for_All_Urban_Consumers_Food_in_US_City_Average"/>
        <s v="Federal_Funds_Effective_Rate"/>
        <s v="Personal_Consumption_Expenditures"/>
        <s v="Producer_Price_Index_by_Commodity_Farm_Products_Corn"/>
        <s v="Producer_Price_Index_by_Commodity_Farm_Products_Soybeans"/>
        <s v="Producer_Price_Index_by_Commodity_Processed_Foods_and_Feeds_Chicken_and_Turkey_Feed_Supplements__________Concentrates_and_Premixes"/>
        <s v="Real_Disposable_Personal_Income"/>
        <s v="Retail_Sales_Restaurants_and_Other_Eating_Places"/>
        <s v="Retail_Sales_Retail_Trade_and_Food_Services"/>
        <s v="Unemployment_Rate"/>
        <s v="University_of_Michigan_Consumer_Sentiment"/>
        <s v="US_Diesel_Sales_Price"/>
      </sharedItems>
    </cacheField>
    <cacheField name="Correlation" numFmtId="0">
      <sharedItems containsSemiMixedTypes="0" containsString="0" containsNumber="1" minValue="-0.64237169100000002" maxValue="1"/>
    </cacheField>
  </cacheFields>
  <extLst>
    <ext xmlns:x14="http://schemas.microsoft.com/office/spreadsheetml/2009/9/main" uri="{725AE2AE-9491-48be-B2B4-4EB974FC3084}">
      <x14:pivotCacheDefinition pivotCacheId="6191114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1">
  <r>
    <x v="0"/>
    <x v="0"/>
    <n v="0.74209372900000004"/>
  </r>
  <r>
    <x v="1"/>
    <x v="0"/>
    <n v="0.645275559"/>
  </r>
  <r>
    <x v="2"/>
    <x v="0"/>
    <n v="0.69592891099999998"/>
  </r>
  <r>
    <x v="3"/>
    <x v="0"/>
    <n v="0.61616607000000001"/>
  </r>
  <r>
    <x v="4"/>
    <x v="0"/>
    <n v="0.74131938500000005"/>
  </r>
  <r>
    <x v="5"/>
    <x v="0"/>
    <n v="0.64081364299999999"/>
  </r>
  <r>
    <x v="6"/>
    <x v="0"/>
    <n v="0.29846032099999997"/>
  </r>
  <r>
    <x v="7"/>
    <x v="0"/>
    <n v="0.58781558499999997"/>
  </r>
  <r>
    <x v="8"/>
    <x v="0"/>
    <n v="0.35179983199999998"/>
  </r>
  <r>
    <x v="9"/>
    <x v="0"/>
    <n v="0.36131901900000002"/>
  </r>
  <r>
    <x v="10"/>
    <x v="0"/>
    <n v="0.52342059100000005"/>
  </r>
  <r>
    <x v="11"/>
    <x v="0"/>
    <n v="0.41214548400000001"/>
  </r>
  <r>
    <x v="12"/>
    <x v="0"/>
    <n v="0.58374119899999999"/>
  </r>
  <r>
    <x v="13"/>
    <x v="0"/>
    <n v="0.57819416899999998"/>
  </r>
  <r>
    <x v="14"/>
    <x v="0"/>
    <n v="-0.26121279400000003"/>
  </r>
  <r>
    <x v="15"/>
    <x v="0"/>
    <n v="-0.39301572099999998"/>
  </r>
  <r>
    <x v="16"/>
    <x v="0"/>
    <n v="0.498955223"/>
  </r>
  <r>
    <x v="17"/>
    <x v="0"/>
    <n v="0.367513064"/>
  </r>
  <r>
    <x v="18"/>
    <x v="1"/>
    <n v="0.74209372900000004"/>
  </r>
  <r>
    <x v="0"/>
    <x v="1"/>
    <n v="1"/>
  </r>
  <r>
    <x v="1"/>
    <x v="1"/>
    <n v="0.67096561300000002"/>
  </r>
  <r>
    <x v="2"/>
    <x v="1"/>
    <n v="0.80561452899999997"/>
  </r>
  <r>
    <x v="3"/>
    <x v="1"/>
    <n v="0.67207541900000001"/>
  </r>
  <r>
    <x v="4"/>
    <x v="1"/>
    <n v="0.84187201899999997"/>
  </r>
  <r>
    <x v="5"/>
    <x v="1"/>
    <n v="0.68493674400000004"/>
  </r>
  <r>
    <x v="6"/>
    <x v="1"/>
    <n v="0.43710756299999998"/>
  </r>
  <r>
    <x v="7"/>
    <x v="1"/>
    <n v="0.65211393100000004"/>
  </r>
  <r>
    <x v="8"/>
    <x v="1"/>
    <n v="0.405409348"/>
  </r>
  <r>
    <x v="9"/>
    <x v="1"/>
    <n v="0.45788331399999999"/>
  </r>
  <r>
    <x v="10"/>
    <x v="1"/>
    <n v="0.56672533700000005"/>
  </r>
  <r>
    <x v="11"/>
    <x v="1"/>
    <n v="0.447176254"/>
  </r>
  <r>
    <x v="12"/>
    <x v="1"/>
    <n v="0.66664087800000005"/>
  </r>
  <r>
    <x v="13"/>
    <x v="1"/>
    <n v="0.67684243099999997"/>
  </r>
  <r>
    <x v="14"/>
    <x v="1"/>
    <n v="-0.32612304600000003"/>
  </r>
  <r>
    <x v="15"/>
    <x v="1"/>
    <n v="-0.56867321100000001"/>
  </r>
  <r>
    <x v="16"/>
    <x v="1"/>
    <n v="0.62073815200000004"/>
  </r>
  <r>
    <x v="17"/>
    <x v="1"/>
    <n v="0.51627057600000004"/>
  </r>
  <r>
    <x v="18"/>
    <x v="2"/>
    <n v="0.645275559"/>
  </r>
  <r>
    <x v="0"/>
    <x v="2"/>
    <n v="0.67096561300000002"/>
  </r>
  <r>
    <x v="1"/>
    <x v="2"/>
    <n v="1"/>
  </r>
  <r>
    <x v="2"/>
    <x v="2"/>
    <n v="0.54656646799999997"/>
  </r>
  <r>
    <x v="3"/>
    <x v="2"/>
    <n v="0.94561400900000003"/>
  </r>
  <r>
    <x v="4"/>
    <x v="2"/>
    <n v="0.87802830899999995"/>
  </r>
  <r>
    <x v="5"/>
    <x v="2"/>
    <n v="0.96152926800000005"/>
  </r>
  <r>
    <x v="6"/>
    <x v="2"/>
    <n v="0.150677476"/>
  </r>
  <r>
    <x v="7"/>
    <x v="2"/>
    <n v="0.91827181700000005"/>
  </r>
  <r>
    <x v="8"/>
    <x v="2"/>
    <n v="0.30839266900000001"/>
  </r>
  <r>
    <x v="9"/>
    <x v="2"/>
    <n v="0.42155991300000001"/>
  </r>
  <r>
    <x v="10"/>
    <x v="2"/>
    <n v="0.65006964"/>
  </r>
  <r>
    <x v="11"/>
    <x v="2"/>
    <n v="0.84652382000000004"/>
  </r>
  <r>
    <x v="12"/>
    <x v="2"/>
    <n v="0.89799747399999996"/>
  </r>
  <r>
    <x v="13"/>
    <x v="2"/>
    <n v="0.89571852900000004"/>
  </r>
  <r>
    <x v="14"/>
    <x v="2"/>
    <n v="-0.33603715099999998"/>
  </r>
  <r>
    <x v="15"/>
    <x v="2"/>
    <n v="-0.20264354000000001"/>
  </r>
  <r>
    <x v="16"/>
    <x v="2"/>
    <n v="0.43941938899999999"/>
  </r>
  <r>
    <x v="17"/>
    <x v="2"/>
    <n v="0.298094474"/>
  </r>
  <r>
    <x v="18"/>
    <x v="3"/>
    <n v="0.69592891099999998"/>
  </r>
  <r>
    <x v="0"/>
    <x v="3"/>
    <n v="0.80561452899999997"/>
  </r>
  <r>
    <x v="1"/>
    <x v="3"/>
    <n v="0.54656646799999997"/>
  </r>
  <r>
    <x v="2"/>
    <x v="3"/>
    <n v="1"/>
  </r>
  <r>
    <x v="3"/>
    <x v="3"/>
    <n v="0.53831151499999996"/>
  </r>
  <r>
    <x v="4"/>
    <x v="3"/>
    <n v="0.70256608399999998"/>
  </r>
  <r>
    <x v="5"/>
    <x v="3"/>
    <n v="0.55307086599999999"/>
  </r>
  <r>
    <x v="6"/>
    <x v="3"/>
    <n v="0.25134441899999999"/>
  </r>
  <r>
    <x v="7"/>
    <x v="3"/>
    <n v="0.50228965699999994"/>
  </r>
  <r>
    <x v="8"/>
    <x v="3"/>
    <n v="0.56839800299999999"/>
  </r>
  <r>
    <x v="9"/>
    <x v="3"/>
    <n v="0.60326782599999995"/>
  </r>
  <r>
    <x v="10"/>
    <x v="3"/>
    <n v="0.65198428200000003"/>
  </r>
  <r>
    <x v="11"/>
    <x v="3"/>
    <n v="0.324751183"/>
  </r>
  <r>
    <x v="12"/>
    <x v="3"/>
    <n v="0.49668289199999999"/>
  </r>
  <r>
    <x v="13"/>
    <x v="3"/>
    <n v="0.52858790899999997"/>
  </r>
  <r>
    <x v="14"/>
    <x v="3"/>
    <n v="-0.184231229"/>
  </r>
  <r>
    <x v="15"/>
    <x v="3"/>
    <n v="-0.64237169100000002"/>
  </r>
  <r>
    <x v="16"/>
    <x v="3"/>
    <n v="0.71655983300000003"/>
  </r>
  <r>
    <x v="17"/>
    <x v="3"/>
    <n v="0.63418148500000004"/>
  </r>
  <r>
    <x v="18"/>
    <x v="4"/>
    <n v="0.61616607000000001"/>
  </r>
  <r>
    <x v="0"/>
    <x v="4"/>
    <n v="0.67207541900000001"/>
  </r>
  <r>
    <x v="1"/>
    <x v="4"/>
    <n v="0.94561400900000003"/>
  </r>
  <r>
    <x v="2"/>
    <x v="4"/>
    <n v="0.53831151499999996"/>
  </r>
  <r>
    <x v="3"/>
    <x v="4"/>
    <n v="1"/>
  </r>
  <r>
    <x v="4"/>
    <x v="4"/>
    <n v="0.93066506400000004"/>
  </r>
  <r>
    <x v="5"/>
    <x v="4"/>
    <n v="0.995818341"/>
  </r>
  <r>
    <x v="6"/>
    <x v="4"/>
    <n v="0.27622296800000001"/>
  </r>
  <r>
    <x v="7"/>
    <x v="4"/>
    <n v="0.99368732000000004"/>
  </r>
  <r>
    <x v="8"/>
    <x v="4"/>
    <n v="0.30997823200000002"/>
  </r>
  <r>
    <x v="9"/>
    <x v="4"/>
    <n v="0.370783535"/>
  </r>
  <r>
    <x v="10"/>
    <x v="4"/>
    <n v="0.60070325899999999"/>
  </r>
  <r>
    <x v="11"/>
    <x v="4"/>
    <n v="0.92424630200000002"/>
  </r>
  <r>
    <x v="12"/>
    <x v="4"/>
    <n v="0.97173762100000005"/>
  </r>
  <r>
    <x v="13"/>
    <x v="4"/>
    <n v="0.98180859099999995"/>
  </r>
  <r>
    <x v="14"/>
    <x v="4"/>
    <n v="-0.46600868699999998"/>
  </r>
  <r>
    <x v="15"/>
    <x v="4"/>
    <n v="-0.19937563699999999"/>
  </r>
  <r>
    <x v="16"/>
    <x v="4"/>
    <n v="0.44066025199999997"/>
  </r>
  <r>
    <x v="17"/>
    <x v="4"/>
    <n v="0.30343725799999999"/>
  </r>
  <r>
    <x v="18"/>
    <x v="5"/>
    <n v="0.74131938500000005"/>
  </r>
  <r>
    <x v="0"/>
    <x v="5"/>
    <n v="0.84187201899999997"/>
  </r>
  <r>
    <x v="1"/>
    <x v="5"/>
    <n v="0.87802830899999995"/>
  </r>
  <r>
    <x v="2"/>
    <x v="5"/>
    <n v="0.70256608399999998"/>
  </r>
  <r>
    <x v="3"/>
    <x v="5"/>
    <n v="0.93066506400000004"/>
  </r>
  <r>
    <x v="4"/>
    <x v="5"/>
    <n v="1"/>
  </r>
  <r>
    <x v="5"/>
    <x v="5"/>
    <n v="0.93047618200000004"/>
  </r>
  <r>
    <x v="6"/>
    <x v="5"/>
    <n v="0.41435639600000002"/>
  </r>
  <r>
    <x v="7"/>
    <x v="5"/>
    <n v="0.91989927199999999"/>
  </r>
  <r>
    <x v="8"/>
    <x v="5"/>
    <n v="0.33492182100000001"/>
  </r>
  <r>
    <x v="9"/>
    <x v="5"/>
    <n v="0.39075432599999999"/>
  </r>
  <r>
    <x v="10"/>
    <x v="5"/>
    <n v="0.59025980600000005"/>
  </r>
  <r>
    <x v="11"/>
    <x v="5"/>
    <n v="0.77321032300000003"/>
  </r>
  <r>
    <x v="12"/>
    <x v="5"/>
    <n v="0.91400032499999995"/>
  </r>
  <r>
    <x v="13"/>
    <x v="5"/>
    <n v="0.91232318199999995"/>
  </r>
  <r>
    <x v="14"/>
    <x v="5"/>
    <n v="-0.447612022"/>
  </r>
  <r>
    <x v="15"/>
    <x v="5"/>
    <n v="-0.41786233099999998"/>
  </r>
  <r>
    <x v="16"/>
    <x v="5"/>
    <n v="0.55363314299999999"/>
  </r>
  <r>
    <x v="17"/>
    <x v="5"/>
    <n v="0.410204126"/>
  </r>
  <r>
    <x v="18"/>
    <x v="6"/>
    <n v="0.64081364299999999"/>
  </r>
  <r>
    <x v="0"/>
    <x v="6"/>
    <n v="0.68493674400000004"/>
  </r>
  <r>
    <x v="1"/>
    <x v="6"/>
    <n v="0.96152926800000005"/>
  </r>
  <r>
    <x v="2"/>
    <x v="6"/>
    <n v="0.55307086599999999"/>
  </r>
  <r>
    <x v="3"/>
    <x v="6"/>
    <n v="0.995818341"/>
  </r>
  <r>
    <x v="4"/>
    <x v="6"/>
    <n v="0.93047618200000004"/>
  </r>
  <r>
    <x v="5"/>
    <x v="6"/>
    <n v="1"/>
  </r>
  <r>
    <x v="6"/>
    <x v="6"/>
    <n v="0.24086591800000001"/>
  </r>
  <r>
    <x v="7"/>
    <x v="6"/>
    <n v="0.98455073000000004"/>
  </r>
  <r>
    <x v="8"/>
    <x v="6"/>
    <n v="0.31431543899999997"/>
  </r>
  <r>
    <x v="9"/>
    <x v="6"/>
    <n v="0.38323118499999997"/>
  </r>
  <r>
    <x v="10"/>
    <x v="6"/>
    <n v="0.61835128299999997"/>
  </r>
  <r>
    <x v="11"/>
    <x v="6"/>
    <n v="0.91542589399999996"/>
  </r>
  <r>
    <x v="12"/>
    <x v="6"/>
    <n v="0.96224240299999997"/>
  </r>
  <r>
    <x v="13"/>
    <x v="6"/>
    <n v="0.96935964399999996"/>
  </r>
  <r>
    <x v="14"/>
    <x v="6"/>
    <n v="-0.42854584800000001"/>
  </r>
  <r>
    <x v="15"/>
    <x v="6"/>
    <n v="-0.218202389"/>
  </r>
  <r>
    <x v="16"/>
    <x v="6"/>
    <n v="0.426831919"/>
  </r>
  <r>
    <x v="17"/>
    <x v="6"/>
    <n v="0.28396193400000003"/>
  </r>
  <r>
    <x v="18"/>
    <x v="7"/>
    <n v="0.29846032099999997"/>
  </r>
  <r>
    <x v="0"/>
    <x v="7"/>
    <n v="0.43710756299999998"/>
  </r>
  <r>
    <x v="1"/>
    <x v="7"/>
    <n v="0.150677476"/>
  </r>
  <r>
    <x v="2"/>
    <x v="7"/>
    <n v="0.25134441899999999"/>
  </r>
  <r>
    <x v="3"/>
    <x v="7"/>
    <n v="0.27622296800000001"/>
  </r>
  <r>
    <x v="4"/>
    <x v="7"/>
    <n v="0.41435639600000002"/>
  </r>
  <r>
    <x v="5"/>
    <x v="7"/>
    <n v="0.24086591800000001"/>
  </r>
  <r>
    <x v="6"/>
    <x v="7"/>
    <n v="1"/>
  </r>
  <r>
    <x v="7"/>
    <x v="7"/>
    <n v="0.31687858899999999"/>
  </r>
  <r>
    <x v="8"/>
    <x v="7"/>
    <n v="-0.199710531"/>
  </r>
  <r>
    <x v="9"/>
    <x v="7"/>
    <n v="-0.28226450400000003"/>
  </r>
  <r>
    <x v="10"/>
    <x v="7"/>
    <n v="-0.20139890299999999"/>
  </r>
  <r>
    <x v="11"/>
    <x v="7"/>
    <n v="0.16982841400000001"/>
  </r>
  <r>
    <x v="12"/>
    <x v="7"/>
    <n v="0.35499451799999998"/>
  </r>
  <r>
    <x v="13"/>
    <x v="7"/>
    <n v="0.33676245500000002"/>
  </r>
  <r>
    <x v="14"/>
    <x v="7"/>
    <n v="-0.57601878200000001"/>
  </r>
  <r>
    <x v="15"/>
    <x v="7"/>
    <n v="-2.0199102E-2"/>
  </r>
  <r>
    <x v="16"/>
    <x v="7"/>
    <n v="0.13022499500000001"/>
  </r>
  <r>
    <x v="17"/>
    <x v="7"/>
    <n v="0.106983177"/>
  </r>
  <r>
    <x v="18"/>
    <x v="8"/>
    <n v="0.58781558499999997"/>
  </r>
  <r>
    <x v="0"/>
    <x v="8"/>
    <n v="0.65211393100000004"/>
  </r>
  <r>
    <x v="1"/>
    <x v="8"/>
    <n v="0.91827181700000005"/>
  </r>
  <r>
    <x v="2"/>
    <x v="8"/>
    <n v="0.50228965699999994"/>
  </r>
  <r>
    <x v="3"/>
    <x v="8"/>
    <n v="0.99368732000000004"/>
  </r>
  <r>
    <x v="4"/>
    <x v="8"/>
    <n v="0.91989927199999999"/>
  </r>
  <r>
    <x v="5"/>
    <x v="8"/>
    <n v="0.98455073000000004"/>
  </r>
  <r>
    <x v="6"/>
    <x v="8"/>
    <n v="0.31687858899999999"/>
  </r>
  <r>
    <x v="7"/>
    <x v="8"/>
    <n v="1"/>
  </r>
  <r>
    <x v="8"/>
    <x v="8"/>
    <n v="0.260790085"/>
  </r>
  <r>
    <x v="9"/>
    <x v="8"/>
    <n v="0.31236544599999999"/>
  </r>
  <r>
    <x v="10"/>
    <x v="8"/>
    <n v="0.54120248900000001"/>
  </r>
  <r>
    <x v="11"/>
    <x v="8"/>
    <n v="0.93295322199999997"/>
  </r>
  <r>
    <x v="12"/>
    <x v="8"/>
    <n v="0.98291508400000005"/>
  </r>
  <r>
    <x v="13"/>
    <x v="8"/>
    <n v="0.99267584099999995"/>
  </r>
  <r>
    <x v="14"/>
    <x v="8"/>
    <n v="-0.53312208100000003"/>
  </r>
  <r>
    <x v="15"/>
    <x v="8"/>
    <n v="-0.14695154199999999"/>
  </r>
  <r>
    <x v="16"/>
    <x v="8"/>
    <n v="0.39140945700000002"/>
  </r>
  <r>
    <x v="17"/>
    <x v="8"/>
    <n v="0.25628356499999999"/>
  </r>
  <r>
    <x v="18"/>
    <x v="9"/>
    <n v="0.35179983199999998"/>
  </r>
  <r>
    <x v="0"/>
    <x v="9"/>
    <n v="0.405409348"/>
  </r>
  <r>
    <x v="1"/>
    <x v="9"/>
    <n v="0.30839266900000001"/>
  </r>
  <r>
    <x v="2"/>
    <x v="9"/>
    <n v="0.56839800299999999"/>
  </r>
  <r>
    <x v="3"/>
    <x v="9"/>
    <n v="0.30997823200000002"/>
  </r>
  <r>
    <x v="4"/>
    <x v="9"/>
    <n v="0.33492182100000001"/>
  </r>
  <r>
    <x v="5"/>
    <x v="9"/>
    <n v="0.31431543899999997"/>
  </r>
  <r>
    <x v="6"/>
    <x v="9"/>
    <n v="-0.199710531"/>
  </r>
  <r>
    <x v="7"/>
    <x v="9"/>
    <n v="0.260790085"/>
  </r>
  <r>
    <x v="8"/>
    <x v="9"/>
    <n v="1"/>
  </r>
  <r>
    <x v="9"/>
    <x v="9"/>
    <n v="0.87523736200000002"/>
  </r>
  <r>
    <x v="10"/>
    <x v="9"/>
    <n v="0.87079795599999998"/>
  </r>
  <r>
    <x v="11"/>
    <x v="9"/>
    <n v="0.17345777900000001"/>
  </r>
  <r>
    <x v="12"/>
    <x v="9"/>
    <n v="0.25210090400000001"/>
  </r>
  <r>
    <x v="13"/>
    <x v="9"/>
    <n v="0.28956533800000001"/>
  </r>
  <r>
    <x v="14"/>
    <x v="9"/>
    <n v="0.114778964"/>
  </r>
  <r>
    <x v="15"/>
    <x v="9"/>
    <n v="-0.54677941699999999"/>
  </r>
  <r>
    <x v="16"/>
    <x v="9"/>
    <n v="0.75872503899999999"/>
  </r>
  <r>
    <x v="17"/>
    <x v="9"/>
    <n v="0.74002958900000004"/>
  </r>
  <r>
    <x v="18"/>
    <x v="10"/>
    <n v="0.36131901900000002"/>
  </r>
  <r>
    <x v="0"/>
    <x v="10"/>
    <n v="0.45788331399999999"/>
  </r>
  <r>
    <x v="1"/>
    <x v="10"/>
    <n v="0.42155991300000001"/>
  </r>
  <r>
    <x v="2"/>
    <x v="10"/>
    <n v="0.60326782599999995"/>
  </r>
  <r>
    <x v="3"/>
    <x v="10"/>
    <n v="0.370783535"/>
  </r>
  <r>
    <x v="4"/>
    <x v="10"/>
    <n v="0.39075432599999999"/>
  </r>
  <r>
    <x v="5"/>
    <x v="10"/>
    <n v="0.38323118499999997"/>
  </r>
  <r>
    <x v="6"/>
    <x v="10"/>
    <n v="-0.28226450400000003"/>
  </r>
  <r>
    <x v="7"/>
    <x v="10"/>
    <n v="0.31236544599999999"/>
  </r>
  <r>
    <x v="8"/>
    <x v="10"/>
    <n v="0.87523736200000002"/>
  </r>
  <r>
    <x v="9"/>
    <x v="10"/>
    <n v="1"/>
  </r>
  <r>
    <x v="10"/>
    <x v="10"/>
    <n v="0.90026441499999998"/>
  </r>
  <r>
    <x v="11"/>
    <x v="10"/>
    <n v="0.232883439"/>
  </r>
  <r>
    <x v="12"/>
    <x v="10"/>
    <n v="0.30125955700000001"/>
  </r>
  <r>
    <x v="13"/>
    <x v="10"/>
    <n v="0.33352963800000002"/>
  </r>
  <r>
    <x v="14"/>
    <x v="10"/>
    <n v="0.135431262"/>
  </r>
  <r>
    <x v="15"/>
    <x v="10"/>
    <n v="-0.53378551500000004"/>
  </r>
  <r>
    <x v="16"/>
    <x v="10"/>
    <n v="0.74058606199999999"/>
  </r>
  <r>
    <x v="17"/>
    <x v="10"/>
    <n v="0.73080751200000005"/>
  </r>
  <r>
    <x v="18"/>
    <x v="11"/>
    <n v="0.52342059100000005"/>
  </r>
  <r>
    <x v="0"/>
    <x v="11"/>
    <n v="0.56672533700000005"/>
  </r>
  <r>
    <x v="1"/>
    <x v="11"/>
    <n v="0.65006964"/>
  </r>
  <r>
    <x v="2"/>
    <x v="11"/>
    <n v="0.65198428200000003"/>
  </r>
  <r>
    <x v="3"/>
    <x v="11"/>
    <n v="0.60070325899999999"/>
  </r>
  <r>
    <x v="4"/>
    <x v="11"/>
    <n v="0.59025980600000005"/>
  </r>
  <r>
    <x v="5"/>
    <x v="11"/>
    <n v="0.61835128299999997"/>
  </r>
  <r>
    <x v="6"/>
    <x v="11"/>
    <n v="-0.20139890299999999"/>
  </r>
  <r>
    <x v="7"/>
    <x v="11"/>
    <n v="0.54120248900000001"/>
  </r>
  <r>
    <x v="8"/>
    <x v="11"/>
    <n v="0.87079795599999998"/>
  </r>
  <r>
    <x v="9"/>
    <x v="11"/>
    <n v="0.90026441499999998"/>
  </r>
  <r>
    <x v="10"/>
    <x v="11"/>
    <n v="1"/>
  </r>
  <r>
    <x v="11"/>
    <x v="11"/>
    <n v="0.44819383800000001"/>
  </r>
  <r>
    <x v="12"/>
    <x v="11"/>
    <n v="0.527855034"/>
  </r>
  <r>
    <x v="13"/>
    <x v="11"/>
    <n v="0.54860160499999999"/>
  </r>
  <r>
    <x v="14"/>
    <x v="11"/>
    <n v="-2.2670682000000001E-2"/>
  </r>
  <r>
    <x v="15"/>
    <x v="11"/>
    <n v="-0.48709780000000003"/>
  </r>
  <r>
    <x v="16"/>
    <x v="11"/>
    <n v="0.78229312500000003"/>
  </r>
  <r>
    <x v="17"/>
    <x v="11"/>
    <n v="0.71120256199999998"/>
  </r>
  <r>
    <x v="18"/>
    <x v="12"/>
    <n v="0.41214548400000001"/>
  </r>
  <r>
    <x v="0"/>
    <x v="12"/>
    <n v="0.447176254"/>
  </r>
  <r>
    <x v="1"/>
    <x v="12"/>
    <n v="0.84652382000000004"/>
  </r>
  <r>
    <x v="2"/>
    <x v="12"/>
    <n v="0.324751183"/>
  </r>
  <r>
    <x v="3"/>
    <x v="12"/>
    <n v="0.92424630200000002"/>
  </r>
  <r>
    <x v="4"/>
    <x v="12"/>
    <n v="0.77321032300000003"/>
  </r>
  <r>
    <x v="5"/>
    <x v="12"/>
    <n v="0.91542589399999996"/>
  </r>
  <r>
    <x v="6"/>
    <x v="12"/>
    <n v="0.16982841400000001"/>
  </r>
  <r>
    <x v="7"/>
    <x v="12"/>
    <n v="0.93295322199999997"/>
  </r>
  <r>
    <x v="8"/>
    <x v="12"/>
    <n v="0.17345777900000001"/>
  </r>
  <r>
    <x v="9"/>
    <x v="12"/>
    <n v="0.232883439"/>
  </r>
  <r>
    <x v="10"/>
    <x v="12"/>
    <n v="0.44819383800000001"/>
  </r>
  <r>
    <x v="11"/>
    <x v="12"/>
    <n v="1"/>
  </r>
  <r>
    <x v="12"/>
    <x v="12"/>
    <n v="0.89019970199999998"/>
  </r>
  <r>
    <x v="13"/>
    <x v="12"/>
    <n v="0.92689101799999996"/>
  </r>
  <r>
    <x v="14"/>
    <x v="12"/>
    <n v="-0.40822434200000002"/>
  </r>
  <r>
    <x v="15"/>
    <x v="12"/>
    <n v="-2.5310794000000001E-2"/>
  </r>
  <r>
    <x v="16"/>
    <x v="12"/>
    <n v="0.211618003"/>
  </r>
  <r>
    <x v="17"/>
    <x v="12"/>
    <n v="7.0874063000000001E-2"/>
  </r>
  <r>
    <x v="18"/>
    <x v="13"/>
    <n v="0.58374119899999999"/>
  </r>
  <r>
    <x v="0"/>
    <x v="13"/>
    <n v="0.66664087800000005"/>
  </r>
  <r>
    <x v="1"/>
    <x v="13"/>
    <n v="0.89799747399999996"/>
  </r>
  <r>
    <x v="2"/>
    <x v="13"/>
    <n v="0.49668289199999999"/>
  </r>
  <r>
    <x v="3"/>
    <x v="13"/>
    <n v="0.97173762100000005"/>
  </r>
  <r>
    <x v="4"/>
    <x v="13"/>
    <n v="0.91400032499999995"/>
  </r>
  <r>
    <x v="5"/>
    <x v="13"/>
    <n v="0.96224240299999997"/>
  </r>
  <r>
    <x v="6"/>
    <x v="13"/>
    <n v="0.35499451799999998"/>
  </r>
  <r>
    <x v="7"/>
    <x v="13"/>
    <n v="0.98291508400000005"/>
  </r>
  <r>
    <x v="8"/>
    <x v="13"/>
    <n v="0.25210090400000001"/>
  </r>
  <r>
    <x v="9"/>
    <x v="13"/>
    <n v="0.30125955700000001"/>
  </r>
  <r>
    <x v="10"/>
    <x v="13"/>
    <n v="0.527855034"/>
  </r>
  <r>
    <x v="11"/>
    <x v="13"/>
    <n v="0.89019970199999998"/>
  </r>
  <r>
    <x v="12"/>
    <x v="13"/>
    <n v="1"/>
  </r>
  <r>
    <x v="13"/>
    <x v="13"/>
    <n v="0.976626039"/>
  </r>
  <r>
    <x v="14"/>
    <x v="13"/>
    <n v="-0.57087790800000004"/>
  </r>
  <r>
    <x v="15"/>
    <x v="13"/>
    <n v="-0.136154094"/>
  </r>
  <r>
    <x v="16"/>
    <x v="13"/>
    <n v="0.39896640700000002"/>
  </r>
  <r>
    <x v="17"/>
    <x v="13"/>
    <n v="0.28739624800000002"/>
  </r>
  <r>
    <x v="18"/>
    <x v="14"/>
    <n v="0.57819416899999998"/>
  </r>
  <r>
    <x v="0"/>
    <x v="14"/>
    <n v="0.67684243099999997"/>
  </r>
  <r>
    <x v="1"/>
    <x v="14"/>
    <n v="0.89571852900000004"/>
  </r>
  <r>
    <x v="2"/>
    <x v="14"/>
    <n v="0.52858790899999997"/>
  </r>
  <r>
    <x v="3"/>
    <x v="14"/>
    <n v="0.98180859099999995"/>
  </r>
  <r>
    <x v="4"/>
    <x v="14"/>
    <n v="0.91232318199999995"/>
  </r>
  <r>
    <x v="5"/>
    <x v="14"/>
    <n v="0.96935964399999996"/>
  </r>
  <r>
    <x v="6"/>
    <x v="14"/>
    <n v="0.33676245500000002"/>
  </r>
  <r>
    <x v="7"/>
    <x v="14"/>
    <n v="0.99267584099999995"/>
  </r>
  <r>
    <x v="8"/>
    <x v="14"/>
    <n v="0.28956533800000001"/>
  </r>
  <r>
    <x v="9"/>
    <x v="14"/>
    <n v="0.33352963800000002"/>
  </r>
  <r>
    <x v="10"/>
    <x v="14"/>
    <n v="0.54860160499999999"/>
  </r>
  <r>
    <x v="11"/>
    <x v="14"/>
    <n v="0.92689101799999996"/>
  </r>
  <r>
    <x v="12"/>
    <x v="14"/>
    <n v="0.976626039"/>
  </r>
  <r>
    <x v="13"/>
    <x v="14"/>
    <n v="1"/>
  </r>
  <r>
    <x v="14"/>
    <x v="14"/>
    <n v="-0.56066499800000003"/>
  </r>
  <r>
    <x v="15"/>
    <x v="14"/>
    <n v="-0.15376958399999999"/>
  </r>
  <r>
    <x v="16"/>
    <x v="14"/>
    <n v="0.41997964500000001"/>
  </r>
  <r>
    <x v="17"/>
    <x v="14"/>
    <n v="0.28976552799999999"/>
  </r>
  <r>
    <x v="18"/>
    <x v="15"/>
    <n v="-0.26121279400000003"/>
  </r>
  <r>
    <x v="0"/>
    <x v="15"/>
    <n v="-0.32612304600000003"/>
  </r>
  <r>
    <x v="1"/>
    <x v="15"/>
    <n v="-0.33603715099999998"/>
  </r>
  <r>
    <x v="2"/>
    <x v="15"/>
    <n v="-0.184231229"/>
  </r>
  <r>
    <x v="3"/>
    <x v="15"/>
    <n v="-0.46600868699999998"/>
  </r>
  <r>
    <x v="4"/>
    <x v="15"/>
    <n v="-0.447612022"/>
  </r>
  <r>
    <x v="5"/>
    <x v="15"/>
    <n v="-0.42854584800000001"/>
  </r>
  <r>
    <x v="6"/>
    <x v="15"/>
    <n v="-0.57601878200000001"/>
  </r>
  <r>
    <x v="7"/>
    <x v="15"/>
    <n v="-0.53312208100000003"/>
  </r>
  <r>
    <x v="8"/>
    <x v="15"/>
    <n v="0.114778964"/>
  </r>
  <r>
    <x v="9"/>
    <x v="15"/>
    <n v="0.135431262"/>
  </r>
  <r>
    <x v="10"/>
    <x v="15"/>
    <n v="-2.2670682000000001E-2"/>
  </r>
  <r>
    <x v="11"/>
    <x v="15"/>
    <n v="-0.40822434200000002"/>
  </r>
  <r>
    <x v="12"/>
    <x v="15"/>
    <n v="-0.57087790800000004"/>
  </r>
  <r>
    <x v="13"/>
    <x v="15"/>
    <n v="-0.56066499800000003"/>
  </r>
  <r>
    <x v="14"/>
    <x v="15"/>
    <n v="1"/>
  </r>
  <r>
    <x v="15"/>
    <x v="15"/>
    <n v="-0.339729583"/>
  </r>
  <r>
    <x v="16"/>
    <x v="15"/>
    <n v="-0.14903408200000001"/>
  </r>
  <r>
    <x v="17"/>
    <x v="15"/>
    <n v="-5.993333E-2"/>
  </r>
  <r>
    <x v="18"/>
    <x v="16"/>
    <n v="-0.39301572099999998"/>
  </r>
  <r>
    <x v="0"/>
    <x v="16"/>
    <n v="-0.56867321100000001"/>
  </r>
  <r>
    <x v="1"/>
    <x v="16"/>
    <n v="-0.20264354000000001"/>
  </r>
  <r>
    <x v="2"/>
    <x v="16"/>
    <n v="-0.64237169100000002"/>
  </r>
  <r>
    <x v="3"/>
    <x v="16"/>
    <n v="-0.19937563699999999"/>
  </r>
  <r>
    <x v="4"/>
    <x v="16"/>
    <n v="-0.41786233099999998"/>
  </r>
  <r>
    <x v="5"/>
    <x v="16"/>
    <n v="-0.218202389"/>
  </r>
  <r>
    <x v="6"/>
    <x v="16"/>
    <n v="-2.0199102E-2"/>
  </r>
  <r>
    <x v="7"/>
    <x v="16"/>
    <n v="-0.14695154199999999"/>
  </r>
  <r>
    <x v="8"/>
    <x v="16"/>
    <n v="-0.54677941699999999"/>
  </r>
  <r>
    <x v="9"/>
    <x v="16"/>
    <n v="-0.53378551500000004"/>
  </r>
  <r>
    <x v="10"/>
    <x v="16"/>
    <n v="-0.48709780000000003"/>
  </r>
  <r>
    <x v="11"/>
    <x v="16"/>
    <n v="-2.5310794000000001E-2"/>
  </r>
  <r>
    <x v="12"/>
    <x v="16"/>
    <n v="-0.136154094"/>
  </r>
  <r>
    <x v="13"/>
    <x v="16"/>
    <n v="-0.15376958399999999"/>
  </r>
  <r>
    <x v="14"/>
    <x v="16"/>
    <n v="-0.339729583"/>
  </r>
  <r>
    <x v="15"/>
    <x v="16"/>
    <n v="1"/>
  </r>
  <r>
    <x v="16"/>
    <x v="16"/>
    <n v="-0.55144424599999997"/>
  </r>
  <r>
    <x v="17"/>
    <x v="16"/>
    <n v="-0.52533537799999996"/>
  </r>
  <r>
    <x v="18"/>
    <x v="17"/>
    <n v="0.498955223"/>
  </r>
  <r>
    <x v="0"/>
    <x v="17"/>
    <n v="0.62073815200000004"/>
  </r>
  <r>
    <x v="1"/>
    <x v="17"/>
    <n v="0.43941938899999999"/>
  </r>
  <r>
    <x v="2"/>
    <x v="17"/>
    <n v="0.71655983300000003"/>
  </r>
  <r>
    <x v="3"/>
    <x v="17"/>
    <n v="0.44066025199999997"/>
  </r>
  <r>
    <x v="4"/>
    <x v="17"/>
    <n v="0.55363314299999999"/>
  </r>
  <r>
    <x v="5"/>
    <x v="17"/>
    <n v="0.426831919"/>
  </r>
  <r>
    <x v="6"/>
    <x v="17"/>
    <n v="0.13022499500000001"/>
  </r>
  <r>
    <x v="7"/>
    <x v="17"/>
    <n v="0.39140945700000002"/>
  </r>
  <r>
    <x v="8"/>
    <x v="17"/>
    <n v="0.75872503899999999"/>
  </r>
  <r>
    <x v="9"/>
    <x v="17"/>
    <n v="0.74058606199999999"/>
  </r>
  <r>
    <x v="10"/>
    <x v="17"/>
    <n v="0.78229312500000003"/>
  </r>
  <r>
    <x v="11"/>
    <x v="17"/>
    <n v="0.211618003"/>
  </r>
  <r>
    <x v="12"/>
    <x v="17"/>
    <n v="0.39896640700000002"/>
  </r>
  <r>
    <x v="13"/>
    <x v="17"/>
    <n v="0.41997964500000001"/>
  </r>
  <r>
    <x v="14"/>
    <x v="17"/>
    <n v="-0.14903408200000001"/>
  </r>
  <r>
    <x v="15"/>
    <x v="17"/>
    <n v="-0.55144424599999997"/>
  </r>
  <r>
    <x v="16"/>
    <x v="17"/>
    <n v="1"/>
  </r>
  <r>
    <x v="17"/>
    <x v="17"/>
    <n v="0.935479291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D611127-9C41-274E-A452-D6743F2C3674}" name="PivotTable4"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H11" firstHeaderRow="1" firstDataRow="2" firstDataCol="1"/>
  <pivotFields count="3">
    <pivotField axis="axisRow" showAll="0" sortType="descending">
      <items count="20">
        <item x="0"/>
        <item x="1"/>
        <item x="18"/>
        <item x="2"/>
        <item x="3"/>
        <item x="4"/>
        <item x="5"/>
        <item h="1" x="6"/>
        <item h="1" x="7"/>
        <item h="1" x="8"/>
        <item h="1" x="9"/>
        <item h="1" x="10"/>
        <item h="1" x="11"/>
        <item h="1" x="12"/>
        <item h="1" x="13"/>
        <item h="1" x="14"/>
        <item h="1" x="15"/>
        <item h="1" x="16"/>
        <item h="1" x="17"/>
        <item t="default"/>
      </items>
      <autoSortScope>
        <pivotArea dataOnly="0" outline="0" fieldPosition="0">
          <references count="1">
            <reference field="4294967294" count="1" selected="0">
              <x v="0"/>
            </reference>
          </references>
        </pivotArea>
      </autoSortScope>
    </pivotField>
    <pivotField axis="axisCol" showAll="0" sortType="descending">
      <items count="19">
        <item h="1" x="17"/>
        <item h="1" x="16"/>
        <item h="1" x="15"/>
        <item h="1" x="14"/>
        <item h="1" x="13"/>
        <item h="1" x="12"/>
        <item h="1" x="11"/>
        <item h="1" x="10"/>
        <item h="1" x="9"/>
        <item h="1" x="8"/>
        <item h="1" x="7"/>
        <item x="6"/>
        <item x="5"/>
        <item x="4"/>
        <item x="3"/>
        <item x="0"/>
        <item x="2"/>
        <item x="1"/>
        <item t="default"/>
      </items>
    </pivotField>
    <pivotField dataField="1" showAll="0"/>
  </pivotFields>
  <rowFields count="1">
    <field x="0"/>
  </rowFields>
  <rowItems count="7">
    <i>
      <x v="5"/>
    </i>
    <i>
      <x v="6"/>
    </i>
    <i>
      <x v="4"/>
    </i>
    <i>
      <x v="1"/>
    </i>
    <i>
      <x/>
    </i>
    <i>
      <x v="3"/>
    </i>
    <i>
      <x v="2"/>
    </i>
  </rowItems>
  <colFields count="1">
    <field x="1"/>
  </colFields>
  <colItems count="7">
    <i>
      <x v="11"/>
    </i>
    <i>
      <x v="12"/>
    </i>
    <i>
      <x v="13"/>
    </i>
    <i>
      <x v="14"/>
    </i>
    <i>
      <x v="15"/>
    </i>
    <i>
      <x v="16"/>
    </i>
    <i>
      <x v="17"/>
    </i>
  </colItems>
  <dataFields count="1">
    <dataField name="Sum of Correlation" fld="2" baseField="0" baseItem="0"/>
  </dataFields>
  <formats count="1">
    <format dxfId="5">
      <pivotArea collapsedLevelsAreSubtotals="1" fieldPosition="0">
        <references count="2">
          <reference field="0" count="1">
            <x v="2"/>
          </reference>
          <reference field="1" count="1" selected="0">
            <x v="15"/>
          </reference>
        </references>
      </pivotArea>
    </format>
  </formats>
  <conditionalFormats count="2">
    <conditionalFormat priority="2">
      <pivotAreas count="1">
        <pivotArea type="data" collapsedLevelsAreSubtotals="1" fieldPosition="0">
          <references count="3">
            <reference field="4294967294" count="1" selected="0">
              <x v="0"/>
            </reference>
            <reference field="0" count="19">
              <x v="0"/>
              <x v="1"/>
              <x v="2"/>
              <x v="3"/>
              <x v="4"/>
              <x v="5"/>
              <x v="6"/>
              <x v="7"/>
              <x v="8"/>
              <x v="9"/>
              <x v="10"/>
              <x v="11"/>
              <x v="12"/>
              <x v="13"/>
              <x v="14"/>
              <x v="15"/>
              <x v="16"/>
              <x v="17"/>
              <x v="18"/>
            </reference>
            <reference field="1" count="18" selected="0">
              <x v="0"/>
              <x v="1"/>
              <x v="2"/>
              <x v="3"/>
              <x v="4"/>
              <x v="5"/>
              <x v="6"/>
              <x v="7"/>
              <x v="8"/>
              <x v="9"/>
              <x v="10"/>
              <x v="11"/>
              <x v="12"/>
              <x v="13"/>
              <x v="14"/>
              <x v="15"/>
              <x v="16"/>
              <x v="17"/>
            </reference>
          </references>
        </pivotArea>
      </pivotAreas>
    </conditionalFormat>
    <conditionalFormat priority="1">
      <pivotAreas count="1">
        <pivotArea type="data" collapsedLevelsAreSubtotals="1" fieldPosition="0">
          <references count="3">
            <reference field="4294967294" count="1" selected="0">
              <x v="0"/>
            </reference>
            <reference field="0" count="19">
              <x v="0"/>
              <x v="1"/>
              <x v="2"/>
              <x v="3"/>
              <x v="4"/>
              <x v="5"/>
              <x v="6"/>
              <x v="7"/>
              <x v="8"/>
              <x v="9"/>
              <x v="10"/>
              <x v="11"/>
              <x v="12"/>
              <x v="13"/>
              <x v="14"/>
              <x v="15"/>
              <x v="16"/>
              <x v="17"/>
              <x v="18"/>
            </reference>
            <reference field="1" count="18" selected="0">
              <x v="0"/>
              <x v="1"/>
              <x v="2"/>
              <x v="3"/>
              <x v="4"/>
              <x v="5"/>
              <x v="6"/>
              <x v="7"/>
              <x v="8"/>
              <x v="9"/>
              <x v="10"/>
              <x v="11"/>
              <x v="12"/>
              <x v="13"/>
              <x v="14"/>
              <x v="15"/>
              <x v="16"/>
              <x v="17"/>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99176F1-AA6A-7549-8E51-7D87DA4E6084}" name="PivotTable5"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11:H19" firstHeaderRow="1" firstDataRow="2" firstDataCol="1"/>
  <pivotFields count="3">
    <pivotField axis="axisRow" showAll="0" sortType="descending">
      <items count="20">
        <item h="1" x="17"/>
        <item h="1" x="16"/>
        <item h="1" x="15"/>
        <item h="1" x="14"/>
        <item h="1" x="13"/>
        <item h="1" x="12"/>
        <item h="1" x="11"/>
        <item h="1" x="10"/>
        <item h="1" x="9"/>
        <item h="1" x="8"/>
        <item h="1" x="7"/>
        <item h="1" x="6"/>
        <item x="5"/>
        <item x="4"/>
        <item x="3"/>
        <item x="2"/>
        <item x="18"/>
        <item x="1"/>
        <item x="0"/>
        <item t="default"/>
      </items>
      <autoSortScope>
        <pivotArea dataOnly="0" outline="0" fieldPosition="0">
          <references count="1">
            <reference field="4294967294" count="1" selected="0">
              <x v="0"/>
            </reference>
          </references>
        </pivotArea>
      </autoSortScope>
    </pivotField>
    <pivotField axis="axisCol" showAll="0" sortType="descending">
      <items count="19">
        <item h="1" x="17"/>
        <item h="1" x="16"/>
        <item h="1" x="15"/>
        <item h="1" x="14"/>
        <item h="1" x="13"/>
        <item h="1" x="12"/>
        <item h="1" x="11"/>
        <item h="1" x="10"/>
        <item h="1" x="9"/>
        <item h="1" x="8"/>
        <item h="1" x="7"/>
        <item x="6"/>
        <item n="Consumer_Price_Index_for_All_Urban_Consumers_Energy_Services_in_US_City_Average+B12:E12" x="5"/>
        <item x="4"/>
        <item x="3"/>
        <item x="0"/>
        <item x="2"/>
        <item x="1"/>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7">
    <i>
      <x v="13"/>
    </i>
    <i>
      <x v="12"/>
    </i>
    <i>
      <x v="14"/>
    </i>
    <i>
      <x v="17"/>
    </i>
    <i>
      <x v="18"/>
    </i>
    <i>
      <x v="15"/>
    </i>
    <i>
      <x v="16"/>
    </i>
  </rowItems>
  <colFields count="1">
    <field x="1"/>
  </colFields>
  <colItems count="7">
    <i>
      <x v="12"/>
    </i>
    <i>
      <x v="11"/>
    </i>
    <i>
      <x v="13"/>
    </i>
    <i>
      <x v="16"/>
    </i>
    <i>
      <x v="17"/>
    </i>
    <i>
      <x v="14"/>
    </i>
    <i>
      <x v="15"/>
    </i>
  </colItems>
  <dataFields count="1">
    <dataField name="Sum of Correlation" fld="2" baseField="0" baseItem="0"/>
  </dataFields>
  <formats count="1">
    <format dxfId="4">
      <pivotArea collapsedLevelsAreSubtotals="1" fieldPosition="0">
        <references count="2">
          <reference field="0" count="1">
            <x v="16"/>
          </reference>
          <reference field="1" count="1" selected="0">
            <x v="15"/>
          </reference>
        </references>
      </pivotArea>
    </format>
  </formats>
  <conditionalFormats count="2">
    <conditionalFormat priority="8">
      <pivotAreas count="1">
        <pivotArea type="data" collapsedLevelsAreSubtotals="1" fieldPosition="0">
          <references count="3">
            <reference field="4294967294" count="1" selected="0">
              <x v="0"/>
            </reference>
            <reference field="0" count="19">
              <x v="0"/>
              <x v="1"/>
              <x v="2"/>
              <x v="3"/>
              <x v="4"/>
              <x v="5"/>
              <x v="6"/>
              <x v="7"/>
              <x v="8"/>
              <x v="9"/>
              <x v="10"/>
              <x v="11"/>
              <x v="12"/>
              <x v="13"/>
              <x v="14"/>
              <x v="15"/>
              <x v="16"/>
              <x v="17"/>
              <x v="18"/>
            </reference>
            <reference field="1" count="18" selected="0">
              <x v="0"/>
              <x v="1"/>
              <x v="2"/>
              <x v="3"/>
              <x v="4"/>
              <x v="5"/>
              <x v="6"/>
              <x v="7"/>
              <x v="8"/>
              <x v="9"/>
              <x v="10"/>
              <x v="11"/>
              <x v="12"/>
              <x v="13"/>
              <x v="14"/>
              <x v="15"/>
              <x v="16"/>
              <x v="17"/>
            </reference>
          </references>
        </pivotArea>
      </pivotAreas>
    </conditionalFormat>
    <conditionalFormat priority="7">
      <pivotAreas count="1">
        <pivotArea type="data" collapsedLevelsAreSubtotals="1" fieldPosition="0">
          <references count="3">
            <reference field="4294967294" count="1" selected="0">
              <x v="0"/>
            </reference>
            <reference field="0" count="19">
              <x v="0"/>
              <x v="1"/>
              <x v="2"/>
              <x v="3"/>
              <x v="4"/>
              <x v="5"/>
              <x v="6"/>
              <x v="7"/>
              <x v="8"/>
              <x v="9"/>
              <x v="10"/>
              <x v="11"/>
              <x v="12"/>
              <x v="13"/>
              <x v="14"/>
              <x v="15"/>
              <x v="16"/>
              <x v="17"/>
              <x v="18"/>
            </reference>
            <reference field="1" count="18" selected="0">
              <x v="0"/>
              <x v="1"/>
              <x v="2"/>
              <x v="3"/>
              <x v="4"/>
              <x v="5"/>
              <x v="6"/>
              <x v="7"/>
              <x v="8"/>
              <x v="9"/>
              <x v="10"/>
              <x v="11"/>
              <x v="12"/>
              <x v="13"/>
              <x v="14"/>
              <x v="15"/>
              <x v="16"/>
              <x v="17"/>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A33971A3-8AE6-E445-BA22-F39FCFC037FA}" autoFormatId="16" applyNumberFormats="0" applyBorderFormats="0" applyFontFormats="0" applyPatternFormats="0" applyAlignmentFormats="0" applyWidthHeightFormats="0">
  <queryTableRefresh nextId="40">
    <queryTableFields count="3">
      <queryTableField id="1" name="Column1" tableColumnId="1"/>
      <queryTableField id="2" name="Average_Price_Eggs_Grade_A_Large_Cost_per_Dozen_in_US_City_Average" tableColumnId="2"/>
      <queryTableField id="3" name="Value" tableColumnId="3"/>
    </queryTableFields>
    <queryTableDeletedFields count="36">
      <deletedField name="Value (7)"/>
      <deletedField name="Attribute (8)"/>
      <deletedField name="Value (8)"/>
      <deletedField name="Attribute (9)"/>
      <deletedField name="Value (9)"/>
      <deletedField name="Value (2)"/>
      <deletedField name="Attribute (3)"/>
      <deletedField name="Value (3)"/>
      <deletedField name="Attribute (4)"/>
      <deletedField name="Value (4)"/>
      <deletedField name="Attribute (5)"/>
      <deletedField name="Value (5)"/>
      <deletedField name="Attribute (6)"/>
      <deletedField name="Value (6)"/>
      <deletedField name="Attribute (2)"/>
      <deletedField name="Attribute (7)"/>
      <deletedField name="Attribute (10)"/>
      <deletedField name="Value (10)"/>
      <deletedField name="Attribute (11)"/>
      <deletedField name="Value (11)"/>
      <deletedField name="Attribute (12)"/>
      <deletedField name="Value (12)"/>
      <deletedField name="Attribute (13)"/>
      <deletedField name="Value (13)"/>
      <deletedField name="Attribute (14)"/>
      <deletedField name="Value (14)"/>
      <deletedField name="Attribute (15)"/>
      <deletedField name="Value (15)"/>
      <deletedField name="Attribute (16)"/>
      <deletedField name="Value (16)"/>
      <deletedField name="Attribute (17)"/>
      <deletedField name="Value (17)"/>
      <deletedField name="Attribute (18)"/>
      <deletedField name="Value (18)"/>
      <deletedField name="Attribute (19)"/>
      <deletedField name="Value (19)"/>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le_1" xr10:uid="{C9CFF6C3-ED8F-484D-9D6E-C591A8B032E9}" sourceName="Variable 1">
  <pivotTables>
    <pivotTable tabId="15" name="PivotTable4"/>
    <pivotTable tabId="25" name="PivotTable5"/>
  </pivotTables>
  <data>
    <tabular pivotCacheId="619111411">
      <items count="19">
        <i x="0" s="1"/>
        <i x="1" s="1"/>
        <i x="18" s="1"/>
        <i x="2" s="1"/>
        <i x="3" s="1"/>
        <i x="4" s="1"/>
        <i x="5" s="1"/>
        <i x="6"/>
        <i x="7"/>
        <i x="8"/>
        <i x="9"/>
        <i x="10"/>
        <i x="11"/>
        <i x="12"/>
        <i x="13"/>
        <i x="14"/>
        <i x="15"/>
        <i x="16"/>
        <i x="1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le_2" xr10:uid="{027D242C-0CD7-3446-9C96-ABA880A1AF77}" sourceName="Variable 2">
  <pivotTables>
    <pivotTable tabId="15" name="PivotTable4"/>
    <pivotTable tabId="25" name="PivotTable5"/>
  </pivotTables>
  <data>
    <tabular pivotCacheId="619111411">
      <items count="18">
        <i x="1" s="1"/>
        <i x="2" s="1"/>
        <i x="0" s="1"/>
        <i x="3" s="1"/>
        <i x="4" s="1"/>
        <i x="5" s="1"/>
        <i x="6" s="1"/>
        <i x="7"/>
        <i x="8"/>
        <i x="9"/>
        <i x="10"/>
        <i x="11"/>
        <i x="12"/>
        <i x="13"/>
        <i x="14"/>
        <i x="15"/>
        <i x="16"/>
        <i x="1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riable 1" xr10:uid="{1394770D-1CD5-8648-860F-1BCAFE9C6E60}" cache="Slicer_Variable_1" caption="Variable 1" style="SlicerStyleLight6" rowHeight="230716"/>
  <slicer name="Variable 2" xr10:uid="{424D2B27-8D09-9343-8FB4-E2E7D039130B}" cache="Slicer_Variable_2" caption="Variable 2" style="SlicerStyleLight6" rowHeight="230716"/>
  <slicer name="Variable 3" xr10:uid="{A7BADFBD-FF4B-0C4C-9116-33CF13282348}" cache="Slicer_Variable_2" caption="Variable 2" rowHeight="230716"/>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57D561-3958-9E42-BD50-C144272C1B00}" name="Query__2" displayName="Query__2" ref="A1:C379" tableType="queryTable" totalsRowCount="1">
  <tableColumns count="3">
    <tableColumn id="1" xr3:uid="{847E31F8-7578-E04D-9166-3B58F463E3F8}" uniqueName="1" name="Variable 1" queryTableFieldId="1" dataDxfId="16" totalsRowDxfId="13"/>
    <tableColumn id="2" xr3:uid="{E259C583-1E36-C84E-9F9C-EAA443AC7A92}" uniqueName="2" name="Variable 2" queryTableFieldId="2" dataDxfId="15" totalsRowDxfId="12"/>
    <tableColumn id="3" xr3:uid="{5F34938B-8B10-C646-A43C-3181E8A5EA1E}" uniqueName="3" name="Correlation" queryTableFieldId="3" dataDxfId="14" totalsRowDxf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21B9ED8-4054-8C4C-B277-2BD7A27B5BD6}" name="Table4" displayName="Table4" ref="A1:D172" totalsRowShown="0" tableBorderDxfId="10">
  <autoFilter ref="A1:D172" xr:uid="{B21B9ED8-4054-8C4C-B277-2BD7A27B5BD6}"/>
  <tableColumns count="4">
    <tableColumn id="1" xr3:uid="{B30E7728-8E95-8248-98AA-9C57B34FF318}" name="Variable 1" dataDxfId="9"/>
    <tableColumn id="2" xr3:uid="{C9BEACD1-E50B-5F4E-A6DE-2B74910F4402}" name="Variable 2" dataDxfId="8"/>
    <tableColumn id="3" xr3:uid="{3A13E5B2-86F2-0347-81E2-61F78DDCA792}" name="Correlation" dataDxfId="6"/>
    <tableColumn id="8" xr3:uid="{B564906C-38A5-2C44-B731-F542BE6E0C26}" name="Correlation Pairs" dataDxfId="7"/>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T231"/>
  <sheetViews>
    <sheetView zoomScale="57" workbookViewId="0">
      <selection activeCell="M22" sqref="M22"/>
    </sheetView>
  </sheetViews>
  <sheetFormatPr baseColWidth="10" defaultRowHeight="15" x14ac:dyDescent="0.2"/>
  <sheetData>
    <row r="1" spans="1:20" x14ac:dyDescent="0.2">
      <c r="A1" t="s">
        <v>0</v>
      </c>
      <c r="B1" t="s">
        <v>3</v>
      </c>
      <c r="C1" t="s">
        <v>1</v>
      </c>
      <c r="D1" t="s">
        <v>2</v>
      </c>
      <c r="E1" t="s">
        <v>4</v>
      </c>
      <c r="F1" t="s">
        <v>5</v>
      </c>
      <c r="G1" t="s">
        <v>6</v>
      </c>
      <c r="H1" t="s">
        <v>7</v>
      </c>
      <c r="I1" t="s">
        <v>8</v>
      </c>
      <c r="J1" t="s">
        <v>9</v>
      </c>
      <c r="K1" t="s">
        <v>10</v>
      </c>
      <c r="L1" t="s">
        <v>11</v>
      </c>
      <c r="M1" t="s">
        <v>12</v>
      </c>
      <c r="N1" t="s">
        <v>13</v>
      </c>
      <c r="O1" t="s">
        <v>14</v>
      </c>
      <c r="P1" t="s">
        <v>15</v>
      </c>
      <c r="Q1" t="s">
        <v>16</v>
      </c>
      <c r="R1" t="s">
        <v>17</v>
      </c>
      <c r="S1" t="s">
        <v>18</v>
      </c>
      <c r="T1" t="s">
        <v>19</v>
      </c>
    </row>
    <row r="2" spans="1:20" x14ac:dyDescent="0.2">
      <c r="A2" s="1">
        <v>38718</v>
      </c>
      <c r="B2">
        <v>1.4490000000000001</v>
      </c>
      <c r="C2">
        <v>3.3069999999999999</v>
      </c>
      <c r="D2">
        <v>1.0620000000000001</v>
      </c>
      <c r="E2">
        <v>3.1970000000000001</v>
      </c>
      <c r="F2">
        <v>199.3</v>
      </c>
      <c r="G2">
        <v>188.6</v>
      </c>
      <c r="H2">
        <v>193.6</v>
      </c>
      <c r="I2">
        <v>4.29</v>
      </c>
      <c r="J2">
        <v>9071.6</v>
      </c>
      <c r="K2">
        <v>77.8</v>
      </c>
      <c r="L2">
        <v>96.3</v>
      </c>
      <c r="M2">
        <v>115.3</v>
      </c>
      <c r="N2">
        <v>11651.8</v>
      </c>
      <c r="O2">
        <v>28260</v>
      </c>
      <c r="P2">
        <v>357331</v>
      </c>
      <c r="Q2">
        <v>4.7</v>
      </c>
      <c r="R2">
        <v>91.2</v>
      </c>
      <c r="S2">
        <v>2.4674</v>
      </c>
      <c r="T2">
        <v>2.3155999999999999</v>
      </c>
    </row>
    <row r="3" spans="1:20" x14ac:dyDescent="0.2">
      <c r="A3" s="1">
        <v>38749</v>
      </c>
      <c r="B3">
        <v>1.3280000000000001</v>
      </c>
      <c r="C3">
        <v>3.3410000000000002</v>
      </c>
      <c r="D3">
        <v>1.0449999999999999</v>
      </c>
      <c r="E3">
        <v>3.2240000000000002</v>
      </c>
      <c r="F3">
        <v>199.4</v>
      </c>
      <c r="G3">
        <v>186.1</v>
      </c>
      <c r="H3">
        <v>193.7</v>
      </c>
      <c r="I3">
        <v>4.49</v>
      </c>
      <c r="J3">
        <v>9096</v>
      </c>
      <c r="K3">
        <v>77.3</v>
      </c>
      <c r="L3">
        <v>96.7</v>
      </c>
      <c r="M3">
        <v>116</v>
      </c>
      <c r="N3">
        <v>11702.8</v>
      </c>
      <c r="O3">
        <v>27378</v>
      </c>
      <c r="P3">
        <v>354706</v>
      </c>
      <c r="Q3">
        <v>4.8</v>
      </c>
      <c r="R3">
        <v>86.7</v>
      </c>
      <c r="S3">
        <v>2.47525</v>
      </c>
      <c r="T3">
        <v>2.2799999999999998</v>
      </c>
    </row>
    <row r="4" spans="1:20" x14ac:dyDescent="0.2">
      <c r="A4" s="1">
        <v>38777</v>
      </c>
      <c r="B4">
        <v>1.302</v>
      </c>
      <c r="C4">
        <v>3.2949999999999999</v>
      </c>
      <c r="D4">
        <v>1.0469999999999999</v>
      </c>
      <c r="E4">
        <v>3.161</v>
      </c>
      <c r="F4">
        <v>199.7</v>
      </c>
      <c r="G4">
        <v>183.5</v>
      </c>
      <c r="H4">
        <v>194</v>
      </c>
      <c r="I4">
        <v>4.59</v>
      </c>
      <c r="J4">
        <v>9132.9</v>
      </c>
      <c r="K4">
        <v>76</v>
      </c>
      <c r="L4">
        <v>95.4</v>
      </c>
      <c r="M4">
        <v>116</v>
      </c>
      <c r="N4">
        <v>11747.5</v>
      </c>
      <c r="O4">
        <v>30970</v>
      </c>
      <c r="P4">
        <v>355665</v>
      </c>
      <c r="Q4">
        <v>4.7</v>
      </c>
      <c r="R4">
        <v>88.9</v>
      </c>
      <c r="S4">
        <v>2.5585</v>
      </c>
      <c r="T4">
        <v>2.42475</v>
      </c>
    </row>
    <row r="5" spans="1:20" x14ac:dyDescent="0.2">
      <c r="A5" s="1">
        <v>38808</v>
      </c>
      <c r="B5">
        <v>1.2829999999999999</v>
      </c>
      <c r="C5">
        <v>3.3079999999999998</v>
      </c>
      <c r="D5">
        <v>1.054</v>
      </c>
      <c r="E5">
        <v>3.1230000000000002</v>
      </c>
      <c r="F5">
        <v>200.7</v>
      </c>
      <c r="G5">
        <v>181.5</v>
      </c>
      <c r="H5">
        <v>193.8</v>
      </c>
      <c r="I5">
        <v>4.79</v>
      </c>
      <c r="J5">
        <v>9191.6</v>
      </c>
      <c r="K5">
        <v>83.2</v>
      </c>
      <c r="L5">
        <v>92.6</v>
      </c>
      <c r="M5">
        <v>116.3</v>
      </c>
      <c r="N5">
        <v>11744.4</v>
      </c>
      <c r="O5">
        <v>30142</v>
      </c>
      <c r="P5">
        <v>357423</v>
      </c>
      <c r="Q5">
        <v>4.7</v>
      </c>
      <c r="R5">
        <v>87.4</v>
      </c>
      <c r="S5">
        <v>2.7280000000000002</v>
      </c>
      <c r="T5">
        <v>2.742</v>
      </c>
    </row>
    <row r="6" spans="1:20" x14ac:dyDescent="0.2">
      <c r="A6" s="1">
        <v>38838</v>
      </c>
      <c r="B6">
        <v>1.206</v>
      </c>
      <c r="C6">
        <v>3.2360000000000002</v>
      </c>
      <c r="D6">
        <v>1.034</v>
      </c>
      <c r="E6">
        <v>3.0659999999999998</v>
      </c>
      <c r="F6">
        <v>201.3</v>
      </c>
      <c r="G6">
        <v>180.7</v>
      </c>
      <c r="H6">
        <v>194.1</v>
      </c>
      <c r="I6">
        <v>4.9400000000000004</v>
      </c>
      <c r="J6">
        <v>9231.7999999999993</v>
      </c>
      <c r="K6">
        <v>82</v>
      </c>
      <c r="L6">
        <v>98.1</v>
      </c>
      <c r="M6">
        <v>115</v>
      </c>
      <c r="N6">
        <v>11736.8</v>
      </c>
      <c r="O6">
        <v>31104</v>
      </c>
      <c r="P6">
        <v>356704</v>
      </c>
      <c r="Q6">
        <v>4.5999999999999996</v>
      </c>
      <c r="R6">
        <v>79.099999999999994</v>
      </c>
      <c r="S6">
        <v>2.8965999999999998</v>
      </c>
      <c r="T6">
        <v>2.9068000000000001</v>
      </c>
    </row>
    <row r="7" spans="1:20" x14ac:dyDescent="0.2">
      <c r="A7" s="1">
        <v>38869</v>
      </c>
      <c r="B7">
        <v>1.242</v>
      </c>
      <c r="C7">
        <v>3.2770000000000001</v>
      </c>
      <c r="D7">
        <v>1.0549999999999999</v>
      </c>
      <c r="E7">
        <v>3.0009999999999999</v>
      </c>
      <c r="F7">
        <v>201.8</v>
      </c>
      <c r="G7">
        <v>179.9</v>
      </c>
      <c r="H7">
        <v>194.7</v>
      </c>
      <c r="I7">
        <v>4.99</v>
      </c>
      <c r="J7">
        <v>9259.6</v>
      </c>
      <c r="K7">
        <v>79.8</v>
      </c>
      <c r="L7">
        <v>96.7</v>
      </c>
      <c r="M7">
        <v>115</v>
      </c>
      <c r="N7">
        <v>11751.9</v>
      </c>
      <c r="O7">
        <v>30986</v>
      </c>
      <c r="P7">
        <v>357879</v>
      </c>
      <c r="Q7">
        <v>4.5999999999999996</v>
      </c>
      <c r="R7">
        <v>84.9</v>
      </c>
      <c r="S7">
        <v>2.8975</v>
      </c>
      <c r="T7">
        <v>2.8845000000000001</v>
      </c>
    </row>
    <row r="8" spans="1:20" x14ac:dyDescent="0.2">
      <c r="A8" s="1">
        <v>38899</v>
      </c>
      <c r="B8">
        <v>1.2130000000000001</v>
      </c>
      <c r="C8">
        <v>3.2090000000000001</v>
      </c>
      <c r="D8">
        <v>1.04</v>
      </c>
      <c r="E8">
        <v>3.0830000000000002</v>
      </c>
      <c r="F8">
        <v>202.9</v>
      </c>
      <c r="G8">
        <v>179.9</v>
      </c>
      <c r="H8">
        <v>195.2</v>
      </c>
      <c r="I8">
        <v>5.24</v>
      </c>
      <c r="J8">
        <v>9343.7999999999993</v>
      </c>
      <c r="K8">
        <v>93.5</v>
      </c>
      <c r="L8">
        <v>98.6</v>
      </c>
      <c r="M8">
        <v>115.3</v>
      </c>
      <c r="N8">
        <v>11746.9</v>
      </c>
      <c r="O8">
        <v>31548</v>
      </c>
      <c r="P8">
        <v>359006</v>
      </c>
      <c r="Q8">
        <v>4.7</v>
      </c>
      <c r="R8">
        <v>84.7</v>
      </c>
      <c r="S8">
        <v>2.9336000000000002</v>
      </c>
      <c r="T8">
        <v>2.9805999999999999</v>
      </c>
    </row>
    <row r="9" spans="1:20" x14ac:dyDescent="0.2">
      <c r="A9" s="1">
        <v>38930</v>
      </c>
      <c r="B9">
        <v>1.244</v>
      </c>
      <c r="C9">
        <v>3.3570000000000002</v>
      </c>
      <c r="D9">
        <v>1.048</v>
      </c>
      <c r="E9">
        <v>3.0190000000000001</v>
      </c>
      <c r="F9">
        <v>203.8</v>
      </c>
      <c r="G9">
        <v>181</v>
      </c>
      <c r="H9">
        <v>195.7</v>
      </c>
      <c r="I9">
        <v>5.25</v>
      </c>
      <c r="J9">
        <v>9342.2000000000007</v>
      </c>
      <c r="K9">
        <v>86</v>
      </c>
      <c r="L9">
        <v>90.7</v>
      </c>
      <c r="M9">
        <v>115.6</v>
      </c>
      <c r="N9">
        <v>11737</v>
      </c>
      <c r="O9">
        <v>31728</v>
      </c>
      <c r="P9">
        <v>360691</v>
      </c>
      <c r="Q9">
        <v>4.7</v>
      </c>
      <c r="R9">
        <v>82</v>
      </c>
      <c r="S9">
        <v>3.0449999999999999</v>
      </c>
      <c r="T9">
        <v>2.9517500000000001</v>
      </c>
    </row>
    <row r="10" spans="1:20" x14ac:dyDescent="0.2">
      <c r="A10" s="1">
        <v>38961</v>
      </c>
      <c r="B10">
        <v>1.254</v>
      </c>
      <c r="C10">
        <v>3.3969999999999998</v>
      </c>
      <c r="D10">
        <v>1.0629999999999999</v>
      </c>
      <c r="E10">
        <v>3.0489999999999999</v>
      </c>
      <c r="F10">
        <v>202.8</v>
      </c>
      <c r="G10">
        <v>183.2</v>
      </c>
      <c r="H10">
        <v>196.3</v>
      </c>
      <c r="I10">
        <v>5.25</v>
      </c>
      <c r="J10">
        <v>9375.4</v>
      </c>
      <c r="K10">
        <v>90.6</v>
      </c>
      <c r="L10">
        <v>87</v>
      </c>
      <c r="M10">
        <v>113.8</v>
      </c>
      <c r="N10">
        <v>11800.1</v>
      </c>
      <c r="O10">
        <v>30094</v>
      </c>
      <c r="P10">
        <v>358961</v>
      </c>
      <c r="Q10">
        <v>4.5</v>
      </c>
      <c r="R10">
        <v>85.4</v>
      </c>
      <c r="S10">
        <v>2.7829999999999999</v>
      </c>
      <c r="T10">
        <v>2.5550000000000002</v>
      </c>
    </row>
    <row r="11" spans="1:20" x14ac:dyDescent="0.2">
      <c r="A11" s="1">
        <v>38991</v>
      </c>
      <c r="B11">
        <v>1.2569999999999999</v>
      </c>
      <c r="C11">
        <v>3.28</v>
      </c>
      <c r="D11">
        <v>1.038</v>
      </c>
      <c r="E11">
        <v>3.0640000000000001</v>
      </c>
      <c r="F11">
        <v>201.9</v>
      </c>
      <c r="G11">
        <v>178.3</v>
      </c>
      <c r="H11">
        <v>196.9</v>
      </c>
      <c r="I11">
        <v>5.25</v>
      </c>
      <c r="J11">
        <v>9393.6</v>
      </c>
      <c r="K11">
        <v>124.3</v>
      </c>
      <c r="L11">
        <v>91.8</v>
      </c>
      <c r="M11">
        <v>115.3</v>
      </c>
      <c r="N11">
        <v>11853.7</v>
      </c>
      <c r="O11">
        <v>30416</v>
      </c>
      <c r="P11">
        <v>358462</v>
      </c>
      <c r="Q11">
        <v>4.4000000000000004</v>
      </c>
      <c r="R11">
        <v>93.6</v>
      </c>
      <c r="S11">
        <v>2.5192000000000001</v>
      </c>
      <c r="T11">
        <v>2.2446000000000002</v>
      </c>
    </row>
    <row r="12" spans="1:20" x14ac:dyDescent="0.2">
      <c r="A12" s="1">
        <v>39022</v>
      </c>
      <c r="B12">
        <v>1.3540000000000001</v>
      </c>
      <c r="C12">
        <v>3.2879999999999998</v>
      </c>
      <c r="D12">
        <v>1.0489999999999999</v>
      </c>
      <c r="E12">
        <v>2.9849999999999999</v>
      </c>
      <c r="F12">
        <v>202</v>
      </c>
      <c r="G12">
        <v>180.3</v>
      </c>
      <c r="H12">
        <v>197</v>
      </c>
      <c r="I12">
        <v>5.25</v>
      </c>
      <c r="J12">
        <v>9400.2000000000007</v>
      </c>
      <c r="K12">
        <v>150.1</v>
      </c>
      <c r="L12">
        <v>109.1</v>
      </c>
      <c r="M12">
        <v>129.19999999999999</v>
      </c>
      <c r="N12">
        <v>11901.9</v>
      </c>
      <c r="O12">
        <v>29023</v>
      </c>
      <c r="P12">
        <v>359266</v>
      </c>
      <c r="Q12">
        <v>4.5</v>
      </c>
      <c r="R12">
        <v>92.1</v>
      </c>
      <c r="S12">
        <v>2.5445000000000002</v>
      </c>
      <c r="T12">
        <v>2.22925</v>
      </c>
    </row>
    <row r="13" spans="1:20" x14ac:dyDescent="0.2">
      <c r="A13" s="1">
        <v>39052</v>
      </c>
      <c r="B13">
        <v>1.5429999999999999</v>
      </c>
      <c r="C13">
        <v>3.2839999999999998</v>
      </c>
      <c r="D13">
        <v>1.0569999999999999</v>
      </c>
      <c r="E13">
        <v>3.004</v>
      </c>
      <c r="F13">
        <v>203.1</v>
      </c>
      <c r="G13">
        <v>182</v>
      </c>
      <c r="H13">
        <v>197.1</v>
      </c>
      <c r="I13">
        <v>5.24</v>
      </c>
      <c r="J13">
        <v>9488.2999999999993</v>
      </c>
      <c r="K13">
        <v>139.9</v>
      </c>
      <c r="L13">
        <v>108.9</v>
      </c>
      <c r="M13">
        <v>138.9</v>
      </c>
      <c r="N13">
        <v>11958.6</v>
      </c>
      <c r="O13">
        <v>32631</v>
      </c>
      <c r="P13">
        <v>363730</v>
      </c>
      <c r="Q13">
        <v>4.4000000000000004</v>
      </c>
      <c r="R13">
        <v>91.7</v>
      </c>
      <c r="S13">
        <v>2.6102500000000002</v>
      </c>
      <c r="T13">
        <v>2.3127499999999999</v>
      </c>
    </row>
    <row r="14" spans="1:20" x14ac:dyDescent="0.2">
      <c r="A14" s="1">
        <v>39083</v>
      </c>
      <c r="B14">
        <v>1.5489999999999999</v>
      </c>
      <c r="C14">
        <v>3.274</v>
      </c>
      <c r="D14">
        <v>1.0329999999999999</v>
      </c>
      <c r="E14">
        <v>3.0670000000000002</v>
      </c>
      <c r="F14">
        <v>203.43700000000001</v>
      </c>
      <c r="G14">
        <v>183.02199999999999</v>
      </c>
      <c r="H14">
        <v>198.37799999999999</v>
      </c>
      <c r="I14">
        <v>5.25</v>
      </c>
      <c r="J14">
        <v>9538.7000000000007</v>
      </c>
      <c r="K14">
        <v>134.19999999999999</v>
      </c>
      <c r="L14">
        <v>108.4</v>
      </c>
      <c r="M14">
        <v>143.30000000000001</v>
      </c>
      <c r="N14">
        <v>11956.6</v>
      </c>
      <c r="O14">
        <v>29110</v>
      </c>
      <c r="P14">
        <v>363616</v>
      </c>
      <c r="Q14">
        <v>4.5999999999999996</v>
      </c>
      <c r="R14">
        <v>96.9</v>
      </c>
      <c r="S14">
        <v>2.4845999999999999</v>
      </c>
      <c r="T14">
        <v>2.2397999999999998</v>
      </c>
    </row>
    <row r="15" spans="1:20" x14ac:dyDescent="0.2">
      <c r="A15" s="1">
        <v>39114</v>
      </c>
      <c r="B15">
        <v>1.746</v>
      </c>
      <c r="C15">
        <v>3.2589999999999999</v>
      </c>
      <c r="D15">
        <v>1.0389999999999999</v>
      </c>
      <c r="E15">
        <v>3.0830000000000002</v>
      </c>
      <c r="F15">
        <v>204.226</v>
      </c>
      <c r="G15">
        <v>184.07400000000001</v>
      </c>
      <c r="H15">
        <v>199.73599999999999</v>
      </c>
      <c r="I15">
        <v>5.26</v>
      </c>
      <c r="J15">
        <v>9566</v>
      </c>
      <c r="K15">
        <v>152.30000000000001</v>
      </c>
      <c r="L15">
        <v>123.1</v>
      </c>
      <c r="M15">
        <v>149.30000000000001</v>
      </c>
      <c r="N15">
        <v>11996</v>
      </c>
      <c r="O15">
        <v>28557</v>
      </c>
      <c r="P15">
        <v>364006</v>
      </c>
      <c r="Q15">
        <v>4.5</v>
      </c>
      <c r="R15">
        <v>91.3</v>
      </c>
      <c r="S15">
        <v>2.4882499999999999</v>
      </c>
      <c r="T15">
        <v>2.2777500000000002</v>
      </c>
    </row>
    <row r="16" spans="1:20" x14ac:dyDescent="0.2">
      <c r="A16" s="1">
        <v>39142</v>
      </c>
      <c r="B16">
        <v>1.6339999999999999</v>
      </c>
      <c r="C16">
        <v>3.3370000000000002</v>
      </c>
      <c r="D16">
        <v>1.0640000000000001</v>
      </c>
      <c r="E16">
        <v>3.0720000000000001</v>
      </c>
      <c r="F16">
        <v>205.28800000000001</v>
      </c>
      <c r="G16">
        <v>186.249</v>
      </c>
      <c r="H16">
        <v>200.43199999999999</v>
      </c>
      <c r="I16">
        <v>5.26</v>
      </c>
      <c r="J16">
        <v>9611.7000000000007</v>
      </c>
      <c r="K16">
        <v>146.30000000000001</v>
      </c>
      <c r="L16">
        <v>115.9</v>
      </c>
      <c r="M16">
        <v>155.1</v>
      </c>
      <c r="N16">
        <v>12035.1</v>
      </c>
      <c r="O16">
        <v>32966</v>
      </c>
      <c r="P16">
        <v>367158</v>
      </c>
      <c r="Q16">
        <v>4.4000000000000004</v>
      </c>
      <c r="R16">
        <v>88.4</v>
      </c>
      <c r="S16">
        <v>2.6669999999999998</v>
      </c>
      <c r="T16">
        <v>2.5627499999999999</v>
      </c>
    </row>
    <row r="17" spans="1:20" x14ac:dyDescent="0.2">
      <c r="A17" s="1">
        <v>39173</v>
      </c>
      <c r="B17">
        <v>1.6160000000000001</v>
      </c>
      <c r="C17">
        <v>3.371</v>
      </c>
      <c r="D17">
        <v>1.115</v>
      </c>
      <c r="E17">
        <v>3.1349999999999998</v>
      </c>
      <c r="F17">
        <v>205.904</v>
      </c>
      <c r="G17">
        <v>186.12299999999999</v>
      </c>
      <c r="H17">
        <v>200.952</v>
      </c>
      <c r="I17">
        <v>5.25</v>
      </c>
      <c r="J17">
        <v>9643.6</v>
      </c>
      <c r="K17">
        <v>128.9</v>
      </c>
      <c r="L17">
        <v>119.4</v>
      </c>
      <c r="M17">
        <v>156.9</v>
      </c>
      <c r="N17">
        <v>12052.8</v>
      </c>
      <c r="O17">
        <v>31229</v>
      </c>
      <c r="P17">
        <v>366187</v>
      </c>
      <c r="Q17">
        <v>4.5</v>
      </c>
      <c r="R17">
        <v>87.1</v>
      </c>
      <c r="S17">
        <v>2.8338000000000001</v>
      </c>
      <c r="T17">
        <v>2.8450000000000002</v>
      </c>
    </row>
    <row r="18" spans="1:20" x14ac:dyDescent="0.2">
      <c r="A18" s="1">
        <v>39203</v>
      </c>
      <c r="B18">
        <v>1.504</v>
      </c>
      <c r="C18">
        <v>3.4860000000000002</v>
      </c>
      <c r="D18">
        <v>1.1180000000000001</v>
      </c>
      <c r="E18">
        <v>3.2589999999999999</v>
      </c>
      <c r="F18">
        <v>206.755</v>
      </c>
      <c r="G18">
        <v>186.44800000000001</v>
      </c>
      <c r="H18">
        <v>201.73500000000001</v>
      </c>
      <c r="I18">
        <v>5.25</v>
      </c>
      <c r="J18">
        <v>9685.7999999999993</v>
      </c>
      <c r="K18">
        <v>134.6</v>
      </c>
      <c r="L18">
        <v>125.3</v>
      </c>
      <c r="M18">
        <v>148.6</v>
      </c>
      <c r="N18">
        <v>12059.9</v>
      </c>
      <c r="O18">
        <v>32930</v>
      </c>
      <c r="P18">
        <v>370934</v>
      </c>
      <c r="Q18">
        <v>4.4000000000000004</v>
      </c>
      <c r="R18">
        <v>88.3</v>
      </c>
      <c r="S18">
        <v>2.7962500000000001</v>
      </c>
      <c r="T18">
        <v>3.1459999999999999</v>
      </c>
    </row>
    <row r="19" spans="1:20" x14ac:dyDescent="0.2">
      <c r="A19" s="1">
        <v>39234</v>
      </c>
      <c r="B19">
        <v>1.373</v>
      </c>
      <c r="C19">
        <v>3.5129999999999999</v>
      </c>
      <c r="D19">
        <v>1.1339999999999999</v>
      </c>
      <c r="E19">
        <v>3.427</v>
      </c>
      <c r="F19">
        <v>207.23400000000001</v>
      </c>
      <c r="G19">
        <v>188.13900000000001</v>
      </c>
      <c r="H19">
        <v>202.55699999999999</v>
      </c>
      <c r="I19">
        <v>5.25</v>
      </c>
      <c r="J19">
        <v>9706.7999999999993</v>
      </c>
      <c r="K19">
        <v>140.5</v>
      </c>
      <c r="L19">
        <v>131.9</v>
      </c>
      <c r="M19">
        <v>153.1</v>
      </c>
      <c r="N19">
        <v>12053.3</v>
      </c>
      <c r="O19">
        <v>33151</v>
      </c>
      <c r="P19">
        <v>368154</v>
      </c>
      <c r="Q19">
        <v>4.5999999999999996</v>
      </c>
      <c r="R19">
        <v>85.3</v>
      </c>
      <c r="S19">
        <v>2.80775</v>
      </c>
      <c r="T19">
        <v>3.056</v>
      </c>
    </row>
    <row r="20" spans="1:20" x14ac:dyDescent="0.2">
      <c r="A20" s="1">
        <v>39264</v>
      </c>
      <c r="B20">
        <v>1.502</v>
      </c>
      <c r="C20">
        <v>3.5089999999999999</v>
      </c>
      <c r="D20">
        <v>1.1299999999999999</v>
      </c>
      <c r="E20">
        <v>3.7360000000000002</v>
      </c>
      <c r="F20">
        <v>207.60300000000001</v>
      </c>
      <c r="G20">
        <v>186.51900000000001</v>
      </c>
      <c r="H20">
        <v>203.232</v>
      </c>
      <c r="I20">
        <v>5.26</v>
      </c>
      <c r="J20">
        <v>9751.1</v>
      </c>
      <c r="K20">
        <v>131.9</v>
      </c>
      <c r="L20">
        <v>140.6</v>
      </c>
      <c r="M20">
        <v>158.5</v>
      </c>
      <c r="N20">
        <v>12066.4</v>
      </c>
      <c r="O20">
        <v>33196</v>
      </c>
      <c r="P20">
        <v>369614</v>
      </c>
      <c r="Q20">
        <v>4.7</v>
      </c>
      <c r="R20">
        <v>90.4</v>
      </c>
      <c r="S20">
        <v>2.8683999999999998</v>
      </c>
      <c r="T20">
        <v>2.9645999999999999</v>
      </c>
    </row>
    <row r="21" spans="1:20" x14ac:dyDescent="0.2">
      <c r="A21" s="1">
        <v>39295</v>
      </c>
      <c r="B21">
        <v>1.6339999999999999</v>
      </c>
      <c r="C21">
        <v>3.589</v>
      </c>
      <c r="D21">
        <v>1.145</v>
      </c>
      <c r="E21">
        <v>3.8069999999999999</v>
      </c>
      <c r="F21">
        <v>207.667</v>
      </c>
      <c r="G21">
        <v>185.333</v>
      </c>
      <c r="H21">
        <v>204.00800000000001</v>
      </c>
      <c r="I21">
        <v>5.0199999999999996</v>
      </c>
      <c r="J21">
        <v>9798.9</v>
      </c>
      <c r="K21">
        <v>131.6</v>
      </c>
      <c r="L21">
        <v>128.5</v>
      </c>
      <c r="M21">
        <v>154.4</v>
      </c>
      <c r="N21">
        <v>12070.9</v>
      </c>
      <c r="O21">
        <v>33725</v>
      </c>
      <c r="P21">
        <v>371358</v>
      </c>
      <c r="Q21">
        <v>4.5999999999999996</v>
      </c>
      <c r="R21">
        <v>83.4</v>
      </c>
      <c r="S21">
        <v>2.8690000000000002</v>
      </c>
      <c r="T21">
        <v>2.7857500000000002</v>
      </c>
    </row>
    <row r="22" spans="1:20" x14ac:dyDescent="0.2">
      <c r="A22" s="1">
        <v>39326</v>
      </c>
      <c r="B22">
        <v>1.825</v>
      </c>
      <c r="C22">
        <v>3.528</v>
      </c>
      <c r="D22">
        <v>1.1419999999999999</v>
      </c>
      <c r="E22">
        <v>3.8410000000000002</v>
      </c>
      <c r="F22">
        <v>208.547</v>
      </c>
      <c r="G22">
        <v>186.09299999999999</v>
      </c>
      <c r="H22">
        <v>205.00299999999999</v>
      </c>
      <c r="I22">
        <v>4.9400000000000004</v>
      </c>
      <c r="J22">
        <v>9845.1</v>
      </c>
      <c r="K22">
        <v>133.9</v>
      </c>
      <c r="L22">
        <v>145.30000000000001</v>
      </c>
      <c r="M22">
        <v>152.1</v>
      </c>
      <c r="N22">
        <v>12089.6</v>
      </c>
      <c r="O22">
        <v>30911</v>
      </c>
      <c r="P22">
        <v>372869</v>
      </c>
      <c r="Q22">
        <v>4.7</v>
      </c>
      <c r="R22">
        <v>83.4</v>
      </c>
      <c r="S22">
        <v>2.9532500000000002</v>
      </c>
      <c r="T22">
        <v>2.8032499999999998</v>
      </c>
    </row>
    <row r="23" spans="1:20" x14ac:dyDescent="0.2">
      <c r="A23" s="1">
        <v>39356</v>
      </c>
      <c r="B23">
        <v>1.7709999999999999</v>
      </c>
      <c r="C23">
        <v>3.4209999999999998</v>
      </c>
      <c r="D23">
        <v>1.135</v>
      </c>
      <c r="E23">
        <v>3.8380000000000001</v>
      </c>
      <c r="F23">
        <v>209.19</v>
      </c>
      <c r="G23">
        <v>187.33099999999999</v>
      </c>
      <c r="H23">
        <v>205.65100000000001</v>
      </c>
      <c r="I23">
        <v>4.76</v>
      </c>
      <c r="J23">
        <v>9882.7000000000007</v>
      </c>
      <c r="K23">
        <v>140.69999999999999</v>
      </c>
      <c r="L23">
        <v>151.1</v>
      </c>
      <c r="M23">
        <v>157.6</v>
      </c>
      <c r="N23">
        <v>12080.4</v>
      </c>
      <c r="O23">
        <v>31744</v>
      </c>
      <c r="P23">
        <v>375289</v>
      </c>
      <c r="Q23">
        <v>4.7</v>
      </c>
      <c r="R23">
        <v>80.900000000000006</v>
      </c>
      <c r="S23">
        <v>3.0746000000000002</v>
      </c>
      <c r="T23">
        <v>2.8029999999999999</v>
      </c>
    </row>
    <row r="24" spans="1:20" x14ac:dyDescent="0.2">
      <c r="A24" s="1">
        <v>39387</v>
      </c>
      <c r="B24">
        <v>1.8620000000000001</v>
      </c>
      <c r="C24">
        <v>3.4590000000000001</v>
      </c>
      <c r="D24">
        <v>1.161</v>
      </c>
      <c r="E24">
        <v>3.9039999999999999</v>
      </c>
      <c r="F24">
        <v>210.834</v>
      </c>
      <c r="G24">
        <v>187.88499999999999</v>
      </c>
      <c r="H24">
        <v>206.49299999999999</v>
      </c>
      <c r="I24">
        <v>4.49</v>
      </c>
      <c r="J24">
        <v>9955.9</v>
      </c>
      <c r="K24">
        <v>155</v>
      </c>
      <c r="L24">
        <v>173.2</v>
      </c>
      <c r="M24">
        <v>164.3</v>
      </c>
      <c r="N24">
        <v>12070.1</v>
      </c>
      <c r="O24">
        <v>30691</v>
      </c>
      <c r="P24">
        <v>378860</v>
      </c>
      <c r="Q24">
        <v>4.7</v>
      </c>
      <c r="R24">
        <v>76.099999999999994</v>
      </c>
      <c r="S24">
        <v>3.3955000000000002</v>
      </c>
      <c r="T24">
        <v>3.08</v>
      </c>
    </row>
    <row r="25" spans="1:20" x14ac:dyDescent="0.2">
      <c r="A25" s="1">
        <v>39417</v>
      </c>
      <c r="B25">
        <v>2.0990000000000002</v>
      </c>
      <c r="C25">
        <v>3.3759999999999999</v>
      </c>
      <c r="D25">
        <v>1.1659999999999999</v>
      </c>
      <c r="E25">
        <v>3.87</v>
      </c>
      <c r="F25">
        <v>211.44499999999999</v>
      </c>
      <c r="G25">
        <v>188.21</v>
      </c>
      <c r="H25">
        <v>206.874</v>
      </c>
      <c r="I25">
        <v>4.24</v>
      </c>
      <c r="J25">
        <v>9972.7999999999993</v>
      </c>
      <c r="K25">
        <v>168.2</v>
      </c>
      <c r="L25">
        <v>192.5</v>
      </c>
      <c r="M25">
        <v>171.3</v>
      </c>
      <c r="N25">
        <v>12120.5</v>
      </c>
      <c r="O25">
        <v>33296</v>
      </c>
      <c r="P25">
        <v>374298</v>
      </c>
      <c r="Q25">
        <v>5</v>
      </c>
      <c r="R25">
        <v>75.5</v>
      </c>
      <c r="S25">
        <v>3.3405999999999998</v>
      </c>
      <c r="T25">
        <v>3.0184000000000002</v>
      </c>
    </row>
    <row r="26" spans="1:20" x14ac:dyDescent="0.2">
      <c r="A26" s="1">
        <v>39448</v>
      </c>
      <c r="B26">
        <v>2.1749999999999998</v>
      </c>
      <c r="C26">
        <v>3.3919999999999999</v>
      </c>
      <c r="D26">
        <v>1.163</v>
      </c>
      <c r="E26">
        <v>3.871</v>
      </c>
      <c r="F26">
        <v>212.17400000000001</v>
      </c>
      <c r="G26">
        <v>187.893</v>
      </c>
      <c r="H26">
        <v>208.126</v>
      </c>
      <c r="I26">
        <v>3.94</v>
      </c>
      <c r="J26">
        <v>9996.4</v>
      </c>
      <c r="K26">
        <v>192.2</v>
      </c>
      <c r="L26">
        <v>211.2</v>
      </c>
      <c r="M26">
        <v>183.6</v>
      </c>
      <c r="N26">
        <v>12137.1</v>
      </c>
      <c r="O26">
        <v>30334</v>
      </c>
      <c r="P26">
        <v>375236</v>
      </c>
      <c r="Q26">
        <v>5</v>
      </c>
      <c r="R26">
        <v>78.400000000000006</v>
      </c>
      <c r="S26">
        <v>3.30775</v>
      </c>
      <c r="T26">
        <v>3.0427499999999998</v>
      </c>
    </row>
    <row r="27" spans="1:20" x14ac:dyDescent="0.2">
      <c r="A27" s="1">
        <v>39479</v>
      </c>
      <c r="B27">
        <v>2.1680000000000001</v>
      </c>
      <c r="C27">
        <v>3.48</v>
      </c>
      <c r="D27">
        <v>1.159</v>
      </c>
      <c r="E27">
        <v>3.8690000000000002</v>
      </c>
      <c r="F27">
        <v>212.68700000000001</v>
      </c>
      <c r="G27">
        <v>190.13900000000001</v>
      </c>
      <c r="H27">
        <v>208.90100000000001</v>
      </c>
      <c r="I27">
        <v>2.98</v>
      </c>
      <c r="J27">
        <v>9981.7000000000007</v>
      </c>
      <c r="K27">
        <v>184.1</v>
      </c>
      <c r="L27">
        <v>219.4</v>
      </c>
      <c r="M27">
        <v>195.2</v>
      </c>
      <c r="N27">
        <v>12141.8</v>
      </c>
      <c r="O27">
        <v>30854</v>
      </c>
      <c r="P27">
        <v>371833</v>
      </c>
      <c r="Q27">
        <v>4.9000000000000004</v>
      </c>
      <c r="R27">
        <v>70.8</v>
      </c>
      <c r="S27">
        <v>3.3769999999999998</v>
      </c>
      <c r="T27">
        <v>3.0274999999999999</v>
      </c>
    </row>
    <row r="28" spans="1:20" x14ac:dyDescent="0.2">
      <c r="A28" s="1">
        <v>39508</v>
      </c>
      <c r="B28">
        <v>2.2029999999999998</v>
      </c>
      <c r="C28">
        <v>3.3719999999999999</v>
      </c>
      <c r="D28">
        <v>1.1679999999999999</v>
      </c>
      <c r="E28">
        <v>3.7810000000000001</v>
      </c>
      <c r="F28">
        <v>213.44800000000001</v>
      </c>
      <c r="G28">
        <v>193.32400000000001</v>
      </c>
      <c r="H28">
        <v>209.32400000000001</v>
      </c>
      <c r="I28">
        <v>2.61</v>
      </c>
      <c r="J28">
        <v>10035.299999999999</v>
      </c>
      <c r="K28">
        <v>205.9</v>
      </c>
      <c r="L28">
        <v>228.7</v>
      </c>
      <c r="M28">
        <v>208.7</v>
      </c>
      <c r="N28">
        <v>12145.9</v>
      </c>
      <c r="O28">
        <v>33274</v>
      </c>
      <c r="P28">
        <v>372745</v>
      </c>
      <c r="Q28">
        <v>5.0999999999999996</v>
      </c>
      <c r="R28">
        <v>69.5</v>
      </c>
      <c r="S28">
        <v>3.8807999999999998</v>
      </c>
      <c r="T28">
        <v>3.2440000000000002</v>
      </c>
    </row>
    <row r="29" spans="1:20" x14ac:dyDescent="0.2">
      <c r="A29" s="1">
        <v>39539</v>
      </c>
      <c r="B29">
        <v>2.069</v>
      </c>
      <c r="C29">
        <v>3.5019999999999998</v>
      </c>
      <c r="D29">
        <v>1.1759999999999999</v>
      </c>
      <c r="E29">
        <v>3.7989999999999999</v>
      </c>
      <c r="F29">
        <v>213.94200000000001</v>
      </c>
      <c r="G29">
        <v>198.339</v>
      </c>
      <c r="H29">
        <v>211.12700000000001</v>
      </c>
      <c r="I29">
        <v>2.2799999999999998</v>
      </c>
      <c r="J29">
        <v>10070.299999999999</v>
      </c>
      <c r="K29">
        <v>221.2</v>
      </c>
      <c r="L29">
        <v>228.2</v>
      </c>
      <c r="M29">
        <v>212.7</v>
      </c>
      <c r="N29">
        <v>12100.8</v>
      </c>
      <c r="O29">
        <v>32299</v>
      </c>
      <c r="P29">
        <v>372572</v>
      </c>
      <c r="Q29">
        <v>5</v>
      </c>
      <c r="R29">
        <v>62.6</v>
      </c>
      <c r="S29">
        <v>4.0834999999999999</v>
      </c>
      <c r="T29">
        <v>3.4580000000000002</v>
      </c>
    </row>
    <row r="30" spans="1:20" x14ac:dyDescent="0.2">
      <c r="A30" s="1">
        <v>39569</v>
      </c>
      <c r="B30">
        <v>1.93</v>
      </c>
      <c r="C30">
        <v>3.452</v>
      </c>
      <c r="D30">
        <v>1.194</v>
      </c>
      <c r="E30">
        <v>3.76</v>
      </c>
      <c r="F30">
        <v>215.208</v>
      </c>
      <c r="G30">
        <v>203.096</v>
      </c>
      <c r="H30">
        <v>212.01900000000001</v>
      </c>
      <c r="I30">
        <v>1.98</v>
      </c>
      <c r="J30">
        <v>10132.299999999999</v>
      </c>
      <c r="K30">
        <v>214.6</v>
      </c>
      <c r="L30">
        <v>226.9</v>
      </c>
      <c r="M30">
        <v>220.3</v>
      </c>
      <c r="N30">
        <v>12696.2</v>
      </c>
      <c r="O30">
        <v>34833</v>
      </c>
      <c r="P30">
        <v>376036</v>
      </c>
      <c r="Q30">
        <v>5.4</v>
      </c>
      <c r="R30">
        <v>59.8</v>
      </c>
      <c r="S30">
        <v>4.4249999999999998</v>
      </c>
      <c r="T30">
        <v>3.7657500000000002</v>
      </c>
    </row>
    <row r="31" spans="1:20" x14ac:dyDescent="0.2">
      <c r="A31" s="1">
        <v>39600</v>
      </c>
      <c r="B31">
        <v>1.92</v>
      </c>
      <c r="C31">
        <v>3.403</v>
      </c>
      <c r="D31">
        <v>1.181</v>
      </c>
      <c r="E31">
        <v>3.7730000000000001</v>
      </c>
      <c r="F31">
        <v>217.46299999999999</v>
      </c>
      <c r="G31">
        <v>207.67400000000001</v>
      </c>
      <c r="H31">
        <v>213.333</v>
      </c>
      <c r="I31">
        <v>2</v>
      </c>
      <c r="J31">
        <v>10187.1</v>
      </c>
      <c r="K31">
        <v>235.5</v>
      </c>
      <c r="L31">
        <v>242.6</v>
      </c>
      <c r="M31">
        <v>227.2</v>
      </c>
      <c r="N31">
        <v>12376.6</v>
      </c>
      <c r="O31">
        <v>33284</v>
      </c>
      <c r="P31">
        <v>376455</v>
      </c>
      <c r="Q31">
        <v>5.6</v>
      </c>
      <c r="R31">
        <v>56.4</v>
      </c>
      <c r="S31">
        <v>4.6768000000000001</v>
      </c>
      <c r="T31">
        <v>4.0541999999999998</v>
      </c>
    </row>
    <row r="32" spans="1:20" x14ac:dyDescent="0.2">
      <c r="A32" s="1">
        <v>39630</v>
      </c>
      <c r="B32">
        <v>2.0110000000000001</v>
      </c>
      <c r="C32">
        <v>3.42</v>
      </c>
      <c r="D32">
        <v>1.1910000000000001</v>
      </c>
      <c r="E32">
        <v>3.9609999999999999</v>
      </c>
      <c r="F32">
        <v>219.01599999999999</v>
      </c>
      <c r="G32">
        <v>214.37299999999999</v>
      </c>
      <c r="H32">
        <v>215.434</v>
      </c>
      <c r="I32">
        <v>2.0099999999999998</v>
      </c>
      <c r="J32">
        <v>10185.1</v>
      </c>
      <c r="K32">
        <v>237.7</v>
      </c>
      <c r="L32">
        <v>259.5</v>
      </c>
      <c r="M32">
        <v>244.2</v>
      </c>
      <c r="N32">
        <v>12188.7</v>
      </c>
      <c r="O32">
        <v>34081</v>
      </c>
      <c r="P32">
        <v>375038</v>
      </c>
      <c r="Q32">
        <v>5.8</v>
      </c>
      <c r="R32">
        <v>61.2</v>
      </c>
      <c r="S32">
        <v>4.7030000000000003</v>
      </c>
      <c r="T32">
        <v>4.0614999999999997</v>
      </c>
    </row>
    <row r="33" spans="1:20" x14ac:dyDescent="0.2">
      <c r="A33" s="1">
        <v>39661</v>
      </c>
      <c r="B33">
        <v>1.8540000000000001</v>
      </c>
      <c r="C33">
        <v>3.4449999999999998</v>
      </c>
      <c r="D33">
        <v>1.2230000000000001</v>
      </c>
      <c r="E33">
        <v>3.8860000000000001</v>
      </c>
      <c r="F33">
        <v>218.69</v>
      </c>
      <c r="G33">
        <v>213.071</v>
      </c>
      <c r="H33">
        <v>216.52799999999999</v>
      </c>
      <c r="I33">
        <v>2</v>
      </c>
      <c r="J33">
        <v>10175.700000000001</v>
      </c>
      <c r="K33">
        <v>216.9</v>
      </c>
      <c r="L33">
        <v>203</v>
      </c>
      <c r="M33">
        <v>240.8</v>
      </c>
      <c r="N33">
        <v>12120.6</v>
      </c>
      <c r="O33">
        <v>34746</v>
      </c>
      <c r="P33">
        <v>372284</v>
      </c>
      <c r="Q33">
        <v>6.1</v>
      </c>
      <c r="R33">
        <v>63</v>
      </c>
      <c r="S33">
        <v>4.3017500000000002</v>
      </c>
      <c r="T33">
        <v>3.7785000000000002</v>
      </c>
    </row>
    <row r="34" spans="1:20" x14ac:dyDescent="0.2">
      <c r="A34" s="1">
        <v>39692</v>
      </c>
      <c r="B34">
        <v>1.978</v>
      </c>
      <c r="C34">
        <v>3.359</v>
      </c>
      <c r="D34">
        <v>1.214</v>
      </c>
      <c r="E34">
        <v>3.7730000000000001</v>
      </c>
      <c r="F34">
        <v>218.87700000000001</v>
      </c>
      <c r="G34">
        <v>207.26400000000001</v>
      </c>
      <c r="H34">
        <v>217.768</v>
      </c>
      <c r="I34">
        <v>1.81</v>
      </c>
      <c r="J34">
        <v>10116.4</v>
      </c>
      <c r="K34">
        <v>214.7</v>
      </c>
      <c r="L34">
        <v>200.6</v>
      </c>
      <c r="M34">
        <v>230.1</v>
      </c>
      <c r="N34">
        <v>12149</v>
      </c>
      <c r="O34">
        <v>31019</v>
      </c>
      <c r="P34">
        <v>366729</v>
      </c>
      <c r="Q34">
        <v>6.1</v>
      </c>
      <c r="R34">
        <v>70.3</v>
      </c>
      <c r="S34">
        <v>4.024</v>
      </c>
      <c r="T34">
        <v>3.7025999999999999</v>
      </c>
    </row>
    <row r="35" spans="1:20" x14ac:dyDescent="0.2">
      <c r="A35" s="1">
        <v>39722</v>
      </c>
      <c r="B35">
        <v>1.8580000000000001</v>
      </c>
      <c r="C35">
        <v>3.343</v>
      </c>
      <c r="D35">
        <v>1.2050000000000001</v>
      </c>
      <c r="E35">
        <v>3.6560000000000001</v>
      </c>
      <c r="F35">
        <v>216.995</v>
      </c>
      <c r="G35">
        <v>205.38200000000001</v>
      </c>
      <c r="H35">
        <v>218.667</v>
      </c>
      <c r="I35">
        <v>0.97</v>
      </c>
      <c r="J35">
        <v>10034.1</v>
      </c>
      <c r="K35">
        <v>170</v>
      </c>
      <c r="L35">
        <v>144.1</v>
      </c>
      <c r="M35">
        <v>212.9</v>
      </c>
      <c r="N35">
        <v>12240.5</v>
      </c>
      <c r="O35">
        <v>32543</v>
      </c>
      <c r="P35">
        <v>352950</v>
      </c>
      <c r="Q35">
        <v>6.5</v>
      </c>
      <c r="R35">
        <v>57.6</v>
      </c>
      <c r="S35">
        <v>3.5760000000000001</v>
      </c>
      <c r="T35">
        <v>3.05125</v>
      </c>
    </row>
    <row r="36" spans="1:20" x14ac:dyDescent="0.2">
      <c r="A36" s="1">
        <v>39753</v>
      </c>
      <c r="B36">
        <v>1.8380000000000001</v>
      </c>
      <c r="C36">
        <v>3.3439999999999999</v>
      </c>
      <c r="D36">
        <v>1.304</v>
      </c>
      <c r="E36">
        <v>3.734</v>
      </c>
      <c r="F36">
        <v>213.15299999999999</v>
      </c>
      <c r="G36">
        <v>203.00899999999999</v>
      </c>
      <c r="H36">
        <v>219.07</v>
      </c>
      <c r="I36">
        <v>0.39</v>
      </c>
      <c r="J36">
        <v>9885.2000000000007</v>
      </c>
      <c r="K36">
        <v>154.1</v>
      </c>
      <c r="L36">
        <v>147.19999999999999</v>
      </c>
      <c r="M36">
        <v>200.1</v>
      </c>
      <c r="N36">
        <v>12345.9</v>
      </c>
      <c r="O36">
        <v>31117</v>
      </c>
      <c r="P36">
        <v>339350</v>
      </c>
      <c r="Q36">
        <v>6.8</v>
      </c>
      <c r="R36">
        <v>55.3</v>
      </c>
      <c r="S36">
        <v>2.8762500000000002</v>
      </c>
      <c r="T36">
        <v>2.1469999999999998</v>
      </c>
    </row>
    <row r="37" spans="1:20" x14ac:dyDescent="0.2">
      <c r="A37" s="1">
        <v>39783</v>
      </c>
      <c r="B37">
        <v>1.8340000000000001</v>
      </c>
      <c r="C37">
        <v>3.2839999999999998</v>
      </c>
      <c r="D37">
        <v>1.3049999999999999</v>
      </c>
      <c r="E37">
        <v>3.681</v>
      </c>
      <c r="F37">
        <v>211.398</v>
      </c>
      <c r="G37">
        <v>202.90299999999999</v>
      </c>
      <c r="H37">
        <v>219.07300000000001</v>
      </c>
      <c r="I37">
        <v>0.16</v>
      </c>
      <c r="J37">
        <v>9801.5</v>
      </c>
      <c r="K37">
        <v>127.6</v>
      </c>
      <c r="L37">
        <v>135.1</v>
      </c>
      <c r="M37">
        <v>174.2</v>
      </c>
      <c r="N37">
        <v>12288.8</v>
      </c>
      <c r="O37">
        <v>32664</v>
      </c>
      <c r="P37">
        <v>332091</v>
      </c>
      <c r="Q37">
        <v>7.3</v>
      </c>
      <c r="R37">
        <v>60.1</v>
      </c>
      <c r="S37">
        <v>2.4489999999999998</v>
      </c>
      <c r="T37">
        <v>1.6870000000000001</v>
      </c>
    </row>
    <row r="38" spans="1:20" x14ac:dyDescent="0.2">
      <c r="A38" s="1">
        <v>39814</v>
      </c>
      <c r="B38">
        <v>1.85</v>
      </c>
      <c r="C38">
        <v>3.2989999999999999</v>
      </c>
      <c r="D38">
        <v>1.292</v>
      </c>
      <c r="E38">
        <v>3.5750000000000002</v>
      </c>
      <c r="F38">
        <v>211.93299999999999</v>
      </c>
      <c r="G38">
        <v>202.024</v>
      </c>
      <c r="H38">
        <v>219.23400000000001</v>
      </c>
      <c r="I38">
        <v>0.15</v>
      </c>
      <c r="J38">
        <v>9847.2000000000007</v>
      </c>
      <c r="K38">
        <v>139.4</v>
      </c>
      <c r="L38">
        <v>161.9</v>
      </c>
      <c r="M38">
        <v>176.1</v>
      </c>
      <c r="N38">
        <v>12361.5</v>
      </c>
      <c r="O38">
        <v>31486</v>
      </c>
      <c r="P38">
        <v>336929</v>
      </c>
      <c r="Q38">
        <v>7.8</v>
      </c>
      <c r="R38">
        <v>61.2</v>
      </c>
      <c r="S38">
        <v>2.2922500000000001</v>
      </c>
      <c r="T38">
        <v>1.7882499999999999</v>
      </c>
    </row>
    <row r="39" spans="1:20" x14ac:dyDescent="0.2">
      <c r="A39" s="1">
        <v>39845</v>
      </c>
      <c r="B39">
        <v>1.7949999999999999</v>
      </c>
      <c r="C39">
        <v>3.3260000000000001</v>
      </c>
      <c r="D39">
        <v>1.29</v>
      </c>
      <c r="E39">
        <v>3.319</v>
      </c>
      <c r="F39">
        <v>212.70500000000001</v>
      </c>
      <c r="G39">
        <v>200.49</v>
      </c>
      <c r="H39">
        <v>218.94900000000001</v>
      </c>
      <c r="I39">
        <v>0.22</v>
      </c>
      <c r="J39">
        <v>9824.5</v>
      </c>
      <c r="K39">
        <v>142.4</v>
      </c>
      <c r="L39">
        <v>164.7</v>
      </c>
      <c r="M39">
        <v>179.1</v>
      </c>
      <c r="N39">
        <v>12241.9</v>
      </c>
      <c r="O39">
        <v>30307</v>
      </c>
      <c r="P39">
        <v>335576</v>
      </c>
      <c r="Q39">
        <v>8.3000000000000007</v>
      </c>
      <c r="R39">
        <v>56.3</v>
      </c>
      <c r="S39">
        <v>2.1952500000000001</v>
      </c>
      <c r="T39">
        <v>1.92275</v>
      </c>
    </row>
    <row r="40" spans="1:20" x14ac:dyDescent="0.2">
      <c r="A40" s="1">
        <v>39873</v>
      </c>
      <c r="B40">
        <v>1.6930000000000001</v>
      </c>
      <c r="C40">
        <v>3.4049999999999998</v>
      </c>
      <c r="D40">
        <v>1.3009999999999999</v>
      </c>
      <c r="E40">
        <v>3.1160000000000001</v>
      </c>
      <c r="F40">
        <v>212.495</v>
      </c>
      <c r="G40">
        <v>197.78</v>
      </c>
      <c r="H40">
        <v>218.51</v>
      </c>
      <c r="I40">
        <v>0.18</v>
      </c>
      <c r="J40">
        <v>9773.2000000000007</v>
      </c>
      <c r="K40">
        <v>142.19999999999999</v>
      </c>
      <c r="L40">
        <v>150.9</v>
      </c>
      <c r="M40">
        <v>179.6</v>
      </c>
      <c r="N40">
        <v>12242.7</v>
      </c>
      <c r="O40">
        <v>33287</v>
      </c>
      <c r="P40">
        <v>329747</v>
      </c>
      <c r="Q40">
        <v>8.6999999999999993</v>
      </c>
      <c r="R40">
        <v>57.3</v>
      </c>
      <c r="S40">
        <v>2.0920000000000001</v>
      </c>
      <c r="T40">
        <v>1.9585999999999999</v>
      </c>
    </row>
    <row r="41" spans="1:20" x14ac:dyDescent="0.2">
      <c r="A41" s="1">
        <v>39904</v>
      </c>
      <c r="B41">
        <v>1.774</v>
      </c>
      <c r="C41">
        <v>3.3879999999999999</v>
      </c>
      <c r="D41">
        <v>1.296</v>
      </c>
      <c r="E41">
        <v>3.0840000000000001</v>
      </c>
      <c r="F41">
        <v>212.709</v>
      </c>
      <c r="G41">
        <v>194.583</v>
      </c>
      <c r="H41">
        <v>218.17500000000001</v>
      </c>
      <c r="I41">
        <v>0.15</v>
      </c>
      <c r="J41">
        <v>9772.5</v>
      </c>
      <c r="K41">
        <v>143.4</v>
      </c>
      <c r="L41">
        <v>176.1</v>
      </c>
      <c r="M41">
        <v>179</v>
      </c>
      <c r="N41">
        <v>12320</v>
      </c>
      <c r="O41">
        <v>32410</v>
      </c>
      <c r="P41">
        <v>331352</v>
      </c>
      <c r="Q41">
        <v>9</v>
      </c>
      <c r="R41">
        <v>65.099999999999994</v>
      </c>
      <c r="S41">
        <v>2.2197499999999999</v>
      </c>
      <c r="T41">
        <v>2.0489999999999999</v>
      </c>
    </row>
    <row r="42" spans="1:20" x14ac:dyDescent="0.2">
      <c r="A42" s="1">
        <v>39934</v>
      </c>
      <c r="B42">
        <v>1.5009999999999999</v>
      </c>
      <c r="C42">
        <v>3.3420000000000001</v>
      </c>
      <c r="D42">
        <v>1.304</v>
      </c>
      <c r="E42">
        <v>3.0680000000000001</v>
      </c>
      <c r="F42">
        <v>213.02199999999999</v>
      </c>
      <c r="G42">
        <v>191.21299999999999</v>
      </c>
      <c r="H42">
        <v>217.81299999999999</v>
      </c>
      <c r="I42">
        <v>0.18</v>
      </c>
      <c r="J42">
        <v>9791.6</v>
      </c>
      <c r="K42">
        <v>156.4</v>
      </c>
      <c r="L42">
        <v>193.3</v>
      </c>
      <c r="M42">
        <v>189.1</v>
      </c>
      <c r="N42">
        <v>12500.1</v>
      </c>
      <c r="O42">
        <v>34642</v>
      </c>
      <c r="P42">
        <v>334256</v>
      </c>
      <c r="Q42">
        <v>9.4</v>
      </c>
      <c r="R42">
        <v>68.7</v>
      </c>
      <c r="S42">
        <v>2.2265000000000001</v>
      </c>
      <c r="T42">
        <v>2.2654999999999998</v>
      </c>
    </row>
    <row r="43" spans="1:20" x14ac:dyDescent="0.2">
      <c r="A43" s="1">
        <v>39965</v>
      </c>
      <c r="B43">
        <v>1.5289999999999999</v>
      </c>
      <c r="C43">
        <v>3.3980000000000001</v>
      </c>
      <c r="D43">
        <v>1.282</v>
      </c>
      <c r="E43">
        <v>3.0089999999999999</v>
      </c>
      <c r="F43">
        <v>214.79</v>
      </c>
      <c r="G43">
        <v>191.14099999999999</v>
      </c>
      <c r="H43">
        <v>217.81299999999999</v>
      </c>
      <c r="I43">
        <v>0.21</v>
      </c>
      <c r="J43">
        <v>9852.4</v>
      </c>
      <c r="K43">
        <v>159.4</v>
      </c>
      <c r="L43">
        <v>213</v>
      </c>
      <c r="M43">
        <v>198.5</v>
      </c>
      <c r="N43">
        <v>12273.2</v>
      </c>
      <c r="O43">
        <v>33019</v>
      </c>
      <c r="P43">
        <v>339883</v>
      </c>
      <c r="Q43">
        <v>9.5</v>
      </c>
      <c r="R43">
        <v>70.8</v>
      </c>
      <c r="S43">
        <v>2.5291999999999999</v>
      </c>
      <c r="T43">
        <v>2.6305999999999998</v>
      </c>
    </row>
    <row r="44" spans="1:20" x14ac:dyDescent="0.2">
      <c r="A44" s="1">
        <v>39995</v>
      </c>
      <c r="B44">
        <v>1.4950000000000001</v>
      </c>
      <c r="C44">
        <v>3.32</v>
      </c>
      <c r="D44">
        <v>1.2609999999999999</v>
      </c>
      <c r="E44">
        <v>2.992</v>
      </c>
      <c r="F44">
        <v>214.726</v>
      </c>
      <c r="G44">
        <v>189.86199999999999</v>
      </c>
      <c r="H44">
        <v>217.387</v>
      </c>
      <c r="I44">
        <v>0.16</v>
      </c>
      <c r="J44">
        <v>9886.2999999999993</v>
      </c>
      <c r="K44">
        <v>139.6</v>
      </c>
      <c r="L44">
        <v>182.5</v>
      </c>
      <c r="M44">
        <v>202.5</v>
      </c>
      <c r="N44">
        <v>12218.7</v>
      </c>
      <c r="O44">
        <v>33932</v>
      </c>
      <c r="P44">
        <v>340517</v>
      </c>
      <c r="Q44">
        <v>9.5</v>
      </c>
      <c r="R44">
        <v>66</v>
      </c>
      <c r="S44">
        <v>2.54</v>
      </c>
      <c r="T44">
        <v>2.5265</v>
      </c>
    </row>
    <row r="45" spans="1:20" x14ac:dyDescent="0.2">
      <c r="A45" s="1">
        <v>40026</v>
      </c>
      <c r="B45">
        <v>1.6319999999999999</v>
      </c>
      <c r="C45">
        <v>3.2669999999999999</v>
      </c>
      <c r="D45">
        <v>1.2869999999999999</v>
      </c>
      <c r="E45">
        <v>2.9790000000000001</v>
      </c>
      <c r="F45">
        <v>215.44499999999999</v>
      </c>
      <c r="G45">
        <v>189.631</v>
      </c>
      <c r="H45">
        <v>217.376</v>
      </c>
      <c r="I45">
        <v>0.16</v>
      </c>
      <c r="J45">
        <v>10004.1</v>
      </c>
      <c r="K45">
        <v>143.80000000000001</v>
      </c>
      <c r="L45">
        <v>200</v>
      </c>
      <c r="M45">
        <v>193.6</v>
      </c>
      <c r="N45">
        <v>12194.8</v>
      </c>
      <c r="O45">
        <v>33681</v>
      </c>
      <c r="P45">
        <v>346668</v>
      </c>
      <c r="Q45">
        <v>9.6</v>
      </c>
      <c r="R45">
        <v>65.7</v>
      </c>
      <c r="S45">
        <v>2.6337999999999999</v>
      </c>
      <c r="T45">
        <v>2.6164000000000001</v>
      </c>
    </row>
    <row r="46" spans="1:20" x14ac:dyDescent="0.2">
      <c r="A46" s="1">
        <v>40057</v>
      </c>
      <c r="B46">
        <v>1.627</v>
      </c>
      <c r="C46">
        <v>3.2850000000000001</v>
      </c>
      <c r="D46">
        <v>1.258</v>
      </c>
      <c r="E46">
        <v>2.9809999999999999</v>
      </c>
      <c r="F46">
        <v>215.86099999999999</v>
      </c>
      <c r="G46">
        <v>189.55699999999999</v>
      </c>
      <c r="H46">
        <v>217.25800000000001</v>
      </c>
      <c r="I46">
        <v>0.15</v>
      </c>
      <c r="J46">
        <v>9927.7999999999993</v>
      </c>
      <c r="K46">
        <v>134.9</v>
      </c>
      <c r="L46">
        <v>162.1</v>
      </c>
      <c r="M46">
        <v>189.5</v>
      </c>
      <c r="N46">
        <v>12230.6</v>
      </c>
      <c r="O46">
        <v>30801</v>
      </c>
      <c r="P46">
        <v>338507</v>
      </c>
      <c r="Q46">
        <v>9.8000000000000007</v>
      </c>
      <c r="R46">
        <v>73.5</v>
      </c>
      <c r="S46">
        <v>2.6259999999999999</v>
      </c>
      <c r="T46">
        <v>2.5539999999999998</v>
      </c>
    </row>
    <row r="47" spans="1:20" x14ac:dyDescent="0.2">
      <c r="A47" s="1">
        <v>40087</v>
      </c>
      <c r="B47">
        <v>1.595</v>
      </c>
      <c r="C47">
        <v>3.33</v>
      </c>
      <c r="D47">
        <v>1.244</v>
      </c>
      <c r="E47">
        <v>3.0459999999999998</v>
      </c>
      <c r="F47">
        <v>216.50899999999999</v>
      </c>
      <c r="G47">
        <v>190.84399999999999</v>
      </c>
      <c r="H47">
        <v>217.452</v>
      </c>
      <c r="I47">
        <v>0.12</v>
      </c>
      <c r="J47">
        <v>9976.7000000000007</v>
      </c>
      <c r="K47">
        <v>156.5</v>
      </c>
      <c r="L47">
        <v>170.1</v>
      </c>
      <c r="M47">
        <v>186.2</v>
      </c>
      <c r="N47">
        <v>12193.2</v>
      </c>
      <c r="O47">
        <v>32351</v>
      </c>
      <c r="P47">
        <v>341654</v>
      </c>
      <c r="Q47">
        <v>10</v>
      </c>
      <c r="R47">
        <v>70.599999999999994</v>
      </c>
      <c r="S47">
        <v>2.6720000000000002</v>
      </c>
      <c r="T47">
        <v>2.55125</v>
      </c>
    </row>
    <row r="48" spans="1:20" x14ac:dyDescent="0.2">
      <c r="A48" s="1">
        <v>40118</v>
      </c>
      <c r="B48">
        <v>1.7050000000000001</v>
      </c>
      <c r="C48">
        <v>3.3180000000000001</v>
      </c>
      <c r="D48">
        <v>1.256</v>
      </c>
      <c r="E48">
        <v>3.0339999999999998</v>
      </c>
      <c r="F48">
        <v>217.23400000000001</v>
      </c>
      <c r="G48">
        <v>193.167</v>
      </c>
      <c r="H48">
        <v>217.58099999999999</v>
      </c>
      <c r="I48">
        <v>0.12</v>
      </c>
      <c r="J48">
        <v>9985.7000000000007</v>
      </c>
      <c r="K48">
        <v>151.5</v>
      </c>
      <c r="L48">
        <v>160</v>
      </c>
      <c r="M48">
        <v>182.8</v>
      </c>
      <c r="N48">
        <v>12224.4</v>
      </c>
      <c r="O48">
        <v>30383</v>
      </c>
      <c r="P48">
        <v>344375</v>
      </c>
      <c r="Q48">
        <v>9.9</v>
      </c>
      <c r="R48">
        <v>67.400000000000006</v>
      </c>
      <c r="S48">
        <v>2.7921999999999998</v>
      </c>
      <c r="T48">
        <v>2.6514000000000002</v>
      </c>
    </row>
    <row r="49" spans="1:20" x14ac:dyDescent="0.2">
      <c r="A49" s="1">
        <v>40148</v>
      </c>
      <c r="B49">
        <v>1.772</v>
      </c>
      <c r="C49">
        <v>3.31</v>
      </c>
      <c r="D49">
        <v>1.2669999999999999</v>
      </c>
      <c r="E49">
        <v>3.105</v>
      </c>
      <c r="F49">
        <v>217.34700000000001</v>
      </c>
      <c r="G49">
        <v>192.34800000000001</v>
      </c>
      <c r="H49">
        <v>217.904</v>
      </c>
      <c r="I49">
        <v>0.12</v>
      </c>
      <c r="J49">
        <v>10052.6</v>
      </c>
      <c r="K49">
        <v>148.1</v>
      </c>
      <c r="L49">
        <v>176.2</v>
      </c>
      <c r="M49">
        <v>181.2</v>
      </c>
      <c r="N49">
        <v>12280.2</v>
      </c>
      <c r="O49">
        <v>32427</v>
      </c>
      <c r="P49">
        <v>346072</v>
      </c>
      <c r="Q49">
        <v>9.9</v>
      </c>
      <c r="R49">
        <v>72.5</v>
      </c>
      <c r="S49">
        <v>2.7444999999999999</v>
      </c>
      <c r="T49">
        <v>2.6072500000000001</v>
      </c>
    </row>
    <row r="50" spans="1:20" x14ac:dyDescent="0.2">
      <c r="A50" s="1">
        <v>40179</v>
      </c>
      <c r="B50">
        <v>1.7889999999999999</v>
      </c>
      <c r="C50">
        <v>3.2509999999999999</v>
      </c>
      <c r="D50">
        <v>1.2649999999999999</v>
      </c>
      <c r="E50">
        <v>3.2360000000000002</v>
      </c>
      <c r="F50">
        <v>217.488</v>
      </c>
      <c r="G50">
        <v>192.46299999999999</v>
      </c>
      <c r="H50">
        <v>218.489</v>
      </c>
      <c r="I50">
        <v>0.11</v>
      </c>
      <c r="J50">
        <v>10056.1</v>
      </c>
      <c r="K50">
        <v>145.30000000000001</v>
      </c>
      <c r="L50">
        <v>167.1</v>
      </c>
      <c r="M50">
        <v>190.1</v>
      </c>
      <c r="N50">
        <v>12285.8</v>
      </c>
      <c r="O50">
        <v>30952</v>
      </c>
      <c r="P50">
        <v>345889</v>
      </c>
      <c r="Q50">
        <v>9.8000000000000007</v>
      </c>
      <c r="R50">
        <v>74.400000000000006</v>
      </c>
      <c r="S50">
        <v>2.8447499999999999</v>
      </c>
      <c r="T50">
        <v>2.7149999999999999</v>
      </c>
    </row>
    <row r="51" spans="1:20" x14ac:dyDescent="0.2">
      <c r="A51" s="1">
        <v>40210</v>
      </c>
      <c r="B51">
        <v>1.8720000000000001</v>
      </c>
      <c r="C51">
        <v>3.3130000000000002</v>
      </c>
      <c r="D51">
        <v>1.2649999999999999</v>
      </c>
      <c r="E51">
        <v>3.2029999999999998</v>
      </c>
      <c r="F51">
        <v>217.28100000000001</v>
      </c>
      <c r="G51">
        <v>191.88499999999999</v>
      </c>
      <c r="H51">
        <v>218.55199999999999</v>
      </c>
      <c r="I51">
        <v>0.13</v>
      </c>
      <c r="J51">
        <v>10093.4</v>
      </c>
      <c r="K51">
        <v>136.5</v>
      </c>
      <c r="L51">
        <v>157.9</v>
      </c>
      <c r="M51">
        <v>179.2</v>
      </c>
      <c r="N51">
        <v>12292</v>
      </c>
      <c r="O51">
        <v>30536</v>
      </c>
      <c r="P51">
        <v>346724</v>
      </c>
      <c r="Q51">
        <v>9.8000000000000007</v>
      </c>
      <c r="R51">
        <v>73.599999999999994</v>
      </c>
      <c r="S51">
        <v>2.7845</v>
      </c>
      <c r="T51">
        <v>2.6440000000000001</v>
      </c>
    </row>
    <row r="52" spans="1:20" x14ac:dyDescent="0.2">
      <c r="A52" s="1">
        <v>40238</v>
      </c>
      <c r="B52">
        <v>1.8220000000000001</v>
      </c>
      <c r="C52">
        <v>3.2610000000000001</v>
      </c>
      <c r="D52">
        <v>1.2310000000000001</v>
      </c>
      <c r="E52">
        <v>3.1880000000000002</v>
      </c>
      <c r="F52">
        <v>217.35300000000001</v>
      </c>
      <c r="G52">
        <v>194.00200000000001</v>
      </c>
      <c r="H52">
        <v>218.99</v>
      </c>
      <c r="I52">
        <v>0.16</v>
      </c>
      <c r="J52">
        <v>10156</v>
      </c>
      <c r="K52">
        <v>134.5</v>
      </c>
      <c r="L52">
        <v>160.1</v>
      </c>
      <c r="M52">
        <v>176.4</v>
      </c>
      <c r="N52">
        <v>12340.3</v>
      </c>
      <c r="O52">
        <v>34162</v>
      </c>
      <c r="P52">
        <v>354119</v>
      </c>
      <c r="Q52">
        <v>9.9</v>
      </c>
      <c r="R52">
        <v>73.599999999999994</v>
      </c>
      <c r="S52">
        <v>2.9148000000000001</v>
      </c>
      <c r="T52">
        <v>2.7715999999999998</v>
      </c>
    </row>
    <row r="53" spans="1:20" x14ac:dyDescent="0.2">
      <c r="A53" s="1">
        <v>40269</v>
      </c>
      <c r="B53">
        <v>1.7789999999999999</v>
      </c>
      <c r="C53">
        <v>3.2450000000000001</v>
      </c>
      <c r="D53">
        <v>1.23</v>
      </c>
      <c r="E53">
        <v>3.14</v>
      </c>
      <c r="F53">
        <v>217.40299999999999</v>
      </c>
      <c r="G53">
        <v>194.01</v>
      </c>
      <c r="H53">
        <v>219.209</v>
      </c>
      <c r="I53">
        <v>0.2</v>
      </c>
      <c r="J53">
        <v>10182.299999999999</v>
      </c>
      <c r="K53">
        <v>132.6</v>
      </c>
      <c r="L53">
        <v>163.19999999999999</v>
      </c>
      <c r="M53">
        <v>171</v>
      </c>
      <c r="N53">
        <v>12447.1</v>
      </c>
      <c r="O53">
        <v>33799</v>
      </c>
      <c r="P53">
        <v>357354</v>
      </c>
      <c r="Q53">
        <v>9.9</v>
      </c>
      <c r="R53">
        <v>72.2</v>
      </c>
      <c r="S53">
        <v>3.0590000000000002</v>
      </c>
      <c r="T53">
        <v>2.8482500000000002</v>
      </c>
    </row>
    <row r="54" spans="1:20" x14ac:dyDescent="0.2">
      <c r="A54" s="1">
        <v>40299</v>
      </c>
      <c r="B54">
        <v>1.5229999999999999</v>
      </c>
      <c r="C54">
        <v>3.2410000000000001</v>
      </c>
      <c r="D54">
        <v>1.2589999999999999</v>
      </c>
      <c r="E54">
        <v>3.1779999999999999</v>
      </c>
      <c r="F54">
        <v>217.29</v>
      </c>
      <c r="G54">
        <v>193.429</v>
      </c>
      <c r="H54">
        <v>219.33099999999999</v>
      </c>
      <c r="I54">
        <v>0.2</v>
      </c>
      <c r="J54">
        <v>10210.799999999999</v>
      </c>
      <c r="K54">
        <v>137.4</v>
      </c>
      <c r="L54">
        <v>161.69999999999999</v>
      </c>
      <c r="M54">
        <v>173.2</v>
      </c>
      <c r="N54">
        <v>12540.3</v>
      </c>
      <c r="O54">
        <v>35152</v>
      </c>
      <c r="P54">
        <v>354068</v>
      </c>
      <c r="Q54">
        <v>9.6</v>
      </c>
      <c r="R54">
        <v>73.599999999999994</v>
      </c>
      <c r="S54">
        <v>3.0688</v>
      </c>
      <c r="T54">
        <v>2.8361999999999998</v>
      </c>
    </row>
    <row r="55" spans="1:20" x14ac:dyDescent="0.2">
      <c r="A55" s="1">
        <v>40330</v>
      </c>
      <c r="B55">
        <v>1.494</v>
      </c>
      <c r="C55">
        <v>3.323</v>
      </c>
      <c r="D55">
        <v>1.2390000000000001</v>
      </c>
      <c r="E55">
        <v>3.2970000000000002</v>
      </c>
      <c r="F55">
        <v>217.19900000000001</v>
      </c>
      <c r="G55">
        <v>192.58600000000001</v>
      </c>
      <c r="H55">
        <v>219.285</v>
      </c>
      <c r="I55">
        <v>0.18</v>
      </c>
      <c r="J55">
        <v>10231.299999999999</v>
      </c>
      <c r="K55">
        <v>124.5</v>
      </c>
      <c r="L55">
        <v>163.4</v>
      </c>
      <c r="M55">
        <v>172.9</v>
      </c>
      <c r="N55">
        <v>12544.3</v>
      </c>
      <c r="O55">
        <v>34109</v>
      </c>
      <c r="P55">
        <v>353647</v>
      </c>
      <c r="Q55">
        <v>9.4</v>
      </c>
      <c r="R55">
        <v>76</v>
      </c>
      <c r="S55">
        <v>2.9477500000000001</v>
      </c>
      <c r="T55">
        <v>2.7315</v>
      </c>
    </row>
    <row r="56" spans="1:20" x14ac:dyDescent="0.2">
      <c r="A56" s="1">
        <v>40360</v>
      </c>
      <c r="B56">
        <v>1.4410000000000001</v>
      </c>
      <c r="C56">
        <v>3.3090000000000002</v>
      </c>
      <c r="D56">
        <v>1.28</v>
      </c>
      <c r="E56">
        <v>3.3130000000000002</v>
      </c>
      <c r="F56">
        <v>217.60499999999999</v>
      </c>
      <c r="G56">
        <v>193.46100000000001</v>
      </c>
      <c r="H56">
        <v>219.23400000000001</v>
      </c>
      <c r="I56">
        <v>0.18</v>
      </c>
      <c r="J56">
        <v>10268.1</v>
      </c>
      <c r="K56">
        <v>140.5</v>
      </c>
      <c r="L56">
        <v>174.3</v>
      </c>
      <c r="M56">
        <v>175.1</v>
      </c>
      <c r="N56">
        <v>12554.2</v>
      </c>
      <c r="O56">
        <v>35598</v>
      </c>
      <c r="P56">
        <v>354717</v>
      </c>
      <c r="Q56">
        <v>9.4</v>
      </c>
      <c r="R56">
        <v>67.8</v>
      </c>
      <c r="S56">
        <v>2.9112499999999999</v>
      </c>
      <c r="T56">
        <v>2.7287499999999998</v>
      </c>
    </row>
    <row r="57" spans="1:20" x14ac:dyDescent="0.2">
      <c r="A57" s="1">
        <v>40391</v>
      </c>
      <c r="B57">
        <v>1.5189999999999999</v>
      </c>
      <c r="C57">
        <v>3.3370000000000002</v>
      </c>
      <c r="D57">
        <v>1.254</v>
      </c>
      <c r="E57">
        <v>3.3029999999999999</v>
      </c>
      <c r="F57">
        <v>217.923</v>
      </c>
      <c r="G57">
        <v>193.75</v>
      </c>
      <c r="H57">
        <v>219.48</v>
      </c>
      <c r="I57">
        <v>0.19</v>
      </c>
      <c r="J57">
        <v>10307.1</v>
      </c>
      <c r="K57">
        <v>150.9</v>
      </c>
      <c r="L57">
        <v>176.2</v>
      </c>
      <c r="M57">
        <v>178.7</v>
      </c>
      <c r="N57">
        <v>12591.4</v>
      </c>
      <c r="O57">
        <v>34878</v>
      </c>
      <c r="P57">
        <v>356448</v>
      </c>
      <c r="Q57">
        <v>9.5</v>
      </c>
      <c r="R57">
        <v>68.900000000000006</v>
      </c>
      <c r="S57">
        <v>2.9586000000000001</v>
      </c>
      <c r="T57">
        <v>2.7298</v>
      </c>
    </row>
    <row r="58" spans="1:20" x14ac:dyDescent="0.2">
      <c r="A58" s="1">
        <v>40422</v>
      </c>
      <c r="B58">
        <v>1.7529999999999999</v>
      </c>
      <c r="C58">
        <v>3.3109999999999999</v>
      </c>
      <c r="D58">
        <v>1.276</v>
      </c>
      <c r="E58">
        <v>3.278</v>
      </c>
      <c r="F58">
        <v>218.27500000000001</v>
      </c>
      <c r="G58">
        <v>192.785</v>
      </c>
      <c r="H58">
        <v>220.21899999999999</v>
      </c>
      <c r="I58">
        <v>0.19</v>
      </c>
      <c r="J58">
        <v>10327.1</v>
      </c>
      <c r="K58">
        <v>176</v>
      </c>
      <c r="L58">
        <v>173.3</v>
      </c>
      <c r="M58">
        <v>182.4</v>
      </c>
      <c r="N58">
        <v>12589.9</v>
      </c>
      <c r="O58">
        <v>32260</v>
      </c>
      <c r="P58">
        <v>359359</v>
      </c>
      <c r="Q58">
        <v>9.5</v>
      </c>
      <c r="R58">
        <v>68.2</v>
      </c>
      <c r="S58">
        <v>2.94625</v>
      </c>
      <c r="T58">
        <v>2.7050000000000001</v>
      </c>
    </row>
    <row r="59" spans="1:20" x14ac:dyDescent="0.2">
      <c r="A59" s="1">
        <v>40452</v>
      </c>
      <c r="B59">
        <v>1.456</v>
      </c>
      <c r="C59">
        <v>3.3889999999999998</v>
      </c>
      <c r="D59">
        <v>1.302</v>
      </c>
      <c r="E59">
        <v>3.3210000000000002</v>
      </c>
      <c r="F59">
        <v>219.035</v>
      </c>
      <c r="G59">
        <v>192.619</v>
      </c>
      <c r="H59">
        <v>220.52099999999999</v>
      </c>
      <c r="I59">
        <v>0.19</v>
      </c>
      <c r="J59">
        <v>10386.4</v>
      </c>
      <c r="K59">
        <v>214.1</v>
      </c>
      <c r="L59">
        <v>192.2</v>
      </c>
      <c r="M59">
        <v>190.5</v>
      </c>
      <c r="N59">
        <v>12592.5</v>
      </c>
      <c r="O59">
        <v>34116</v>
      </c>
      <c r="P59">
        <v>363469</v>
      </c>
      <c r="Q59">
        <v>9.4</v>
      </c>
      <c r="R59">
        <v>67.7</v>
      </c>
      <c r="S59">
        <v>3.0514999999999999</v>
      </c>
      <c r="T59">
        <v>2.8005</v>
      </c>
    </row>
    <row r="60" spans="1:20" x14ac:dyDescent="0.2">
      <c r="A60" s="1">
        <v>40483</v>
      </c>
      <c r="B60">
        <v>1.675</v>
      </c>
      <c r="C60">
        <v>3.339</v>
      </c>
      <c r="D60">
        <v>1.2769999999999999</v>
      </c>
      <c r="E60">
        <v>3.327</v>
      </c>
      <c r="F60">
        <v>219.59</v>
      </c>
      <c r="G60">
        <v>191.33500000000001</v>
      </c>
      <c r="H60">
        <v>220.946</v>
      </c>
      <c r="I60">
        <v>0.19</v>
      </c>
      <c r="J60">
        <v>10433.6</v>
      </c>
      <c r="K60">
        <v>219.7</v>
      </c>
      <c r="L60">
        <v>219.1</v>
      </c>
      <c r="M60">
        <v>203.6</v>
      </c>
      <c r="N60">
        <v>12605.1</v>
      </c>
      <c r="O60">
        <v>32037</v>
      </c>
      <c r="P60">
        <v>367051</v>
      </c>
      <c r="Q60">
        <v>9.8000000000000007</v>
      </c>
      <c r="R60">
        <v>71.599999999999994</v>
      </c>
      <c r="S60">
        <v>3.14</v>
      </c>
      <c r="T60">
        <v>2.859</v>
      </c>
    </row>
    <row r="61" spans="1:20" x14ac:dyDescent="0.2">
      <c r="A61" s="1">
        <v>40513</v>
      </c>
      <c r="B61">
        <v>1.7929999999999999</v>
      </c>
      <c r="C61">
        <v>3.3239999999999998</v>
      </c>
      <c r="D61">
        <v>1.28</v>
      </c>
      <c r="E61">
        <v>3.3180000000000001</v>
      </c>
      <c r="F61">
        <v>220.47200000000001</v>
      </c>
      <c r="G61">
        <v>192.16300000000001</v>
      </c>
      <c r="H61">
        <v>221.215</v>
      </c>
      <c r="I61">
        <v>0.18</v>
      </c>
      <c r="J61">
        <v>10471</v>
      </c>
      <c r="K61">
        <v>232.7</v>
      </c>
      <c r="L61">
        <v>216.2</v>
      </c>
      <c r="M61">
        <v>210.8</v>
      </c>
      <c r="N61">
        <v>12680.6</v>
      </c>
      <c r="O61">
        <v>34357</v>
      </c>
      <c r="P61">
        <v>369139</v>
      </c>
      <c r="Q61">
        <v>9.3000000000000007</v>
      </c>
      <c r="R61">
        <v>74.5</v>
      </c>
      <c r="S61">
        <v>3.2425000000000002</v>
      </c>
      <c r="T61">
        <v>2.9929999999999999</v>
      </c>
    </row>
    <row r="62" spans="1:20" x14ac:dyDescent="0.2">
      <c r="A62" s="1">
        <v>40544</v>
      </c>
      <c r="B62">
        <v>1.806</v>
      </c>
      <c r="C62">
        <v>3.2090000000000001</v>
      </c>
      <c r="D62">
        <v>1.2410000000000001</v>
      </c>
      <c r="E62">
        <v>3.3010000000000002</v>
      </c>
      <c r="F62">
        <v>221.18700000000001</v>
      </c>
      <c r="G62">
        <v>191.375</v>
      </c>
      <c r="H62">
        <v>222.46899999999999</v>
      </c>
      <c r="I62">
        <v>0.17</v>
      </c>
      <c r="J62">
        <v>10514.3</v>
      </c>
      <c r="K62">
        <v>241.4</v>
      </c>
      <c r="L62">
        <v>227.4</v>
      </c>
      <c r="M62">
        <v>216.6</v>
      </c>
      <c r="N62">
        <v>12740.1</v>
      </c>
      <c r="O62">
        <v>32237</v>
      </c>
      <c r="P62">
        <v>371841</v>
      </c>
      <c r="Q62">
        <v>9.1</v>
      </c>
      <c r="R62">
        <v>74.2</v>
      </c>
      <c r="S62">
        <v>3.3877999999999999</v>
      </c>
      <c r="T62">
        <v>3.0948000000000002</v>
      </c>
    </row>
    <row r="63" spans="1:20" x14ac:dyDescent="0.2">
      <c r="A63" s="1">
        <v>40575</v>
      </c>
      <c r="B63">
        <v>1.708</v>
      </c>
      <c r="C63">
        <v>3.1749999999999998</v>
      </c>
      <c r="D63">
        <v>1.266</v>
      </c>
      <c r="E63">
        <v>3.3570000000000002</v>
      </c>
      <c r="F63">
        <v>221.898</v>
      </c>
      <c r="G63">
        <v>192.34800000000001</v>
      </c>
      <c r="H63">
        <v>223.50399999999999</v>
      </c>
      <c r="I63">
        <v>0.16</v>
      </c>
      <c r="J63">
        <v>10540.6</v>
      </c>
      <c r="K63">
        <v>265.89999999999998</v>
      </c>
      <c r="L63">
        <v>229.8</v>
      </c>
      <c r="M63">
        <v>225.4</v>
      </c>
      <c r="N63">
        <v>12776.6</v>
      </c>
      <c r="O63">
        <v>32452</v>
      </c>
      <c r="P63">
        <v>375017</v>
      </c>
      <c r="Q63">
        <v>9</v>
      </c>
      <c r="R63">
        <v>77.5</v>
      </c>
      <c r="S63">
        <v>3.5840000000000001</v>
      </c>
      <c r="T63">
        <v>3.2109999999999999</v>
      </c>
    </row>
    <row r="64" spans="1:20" x14ac:dyDescent="0.2">
      <c r="A64" s="1">
        <v>40603</v>
      </c>
      <c r="B64">
        <v>1.732</v>
      </c>
      <c r="C64">
        <v>3.218</v>
      </c>
      <c r="D64">
        <v>1.2689999999999999</v>
      </c>
      <c r="E64">
        <v>3.5030000000000001</v>
      </c>
      <c r="F64">
        <v>223.04599999999999</v>
      </c>
      <c r="G64">
        <v>193.27500000000001</v>
      </c>
      <c r="H64">
        <v>225.21299999999999</v>
      </c>
      <c r="I64">
        <v>0.14000000000000001</v>
      </c>
      <c r="J64">
        <v>10619.7</v>
      </c>
      <c r="K64">
        <v>247.9</v>
      </c>
      <c r="L64">
        <v>214.5</v>
      </c>
      <c r="M64">
        <v>232</v>
      </c>
      <c r="N64">
        <v>12742.7</v>
      </c>
      <c r="O64">
        <v>36502</v>
      </c>
      <c r="P64">
        <v>378506</v>
      </c>
      <c r="Q64">
        <v>9</v>
      </c>
      <c r="R64">
        <v>67.5</v>
      </c>
      <c r="S64">
        <v>3.9045000000000001</v>
      </c>
      <c r="T64">
        <v>3.5612499999999998</v>
      </c>
    </row>
    <row r="65" spans="1:20" x14ac:dyDescent="0.2">
      <c r="A65" s="1">
        <v>40634</v>
      </c>
      <c r="B65">
        <v>1.7270000000000001</v>
      </c>
      <c r="C65">
        <v>3.2909999999999999</v>
      </c>
      <c r="D65">
        <v>1.2609999999999999</v>
      </c>
      <c r="E65">
        <v>3.597</v>
      </c>
      <c r="F65">
        <v>224.09299999999999</v>
      </c>
      <c r="G65">
        <v>194.315</v>
      </c>
      <c r="H65">
        <v>226.072</v>
      </c>
      <c r="I65">
        <v>0.1</v>
      </c>
      <c r="J65">
        <v>10652.1</v>
      </c>
      <c r="K65">
        <v>274.7</v>
      </c>
      <c r="L65">
        <v>224.5</v>
      </c>
      <c r="M65">
        <v>241.9</v>
      </c>
      <c r="N65">
        <v>12721.3</v>
      </c>
      <c r="O65">
        <v>35950</v>
      </c>
      <c r="P65">
        <v>380335</v>
      </c>
      <c r="Q65">
        <v>9.1</v>
      </c>
      <c r="R65">
        <v>69.8</v>
      </c>
      <c r="S65">
        <v>4.0642500000000004</v>
      </c>
      <c r="T65">
        <v>3.7995000000000001</v>
      </c>
    </row>
    <row r="66" spans="1:20" x14ac:dyDescent="0.2">
      <c r="A66" s="1">
        <v>40664</v>
      </c>
      <c r="B66">
        <v>1.6919999999999999</v>
      </c>
      <c r="C66">
        <v>3.1110000000000002</v>
      </c>
      <c r="D66">
        <v>1.302</v>
      </c>
      <c r="E66">
        <v>3.653</v>
      </c>
      <c r="F66">
        <v>224.80600000000001</v>
      </c>
      <c r="G66">
        <v>195.28899999999999</v>
      </c>
      <c r="H66">
        <v>226.94</v>
      </c>
      <c r="I66">
        <v>0.09</v>
      </c>
      <c r="J66">
        <v>10672.2</v>
      </c>
      <c r="K66">
        <v>264.2</v>
      </c>
      <c r="L66">
        <v>226.2</v>
      </c>
      <c r="M66">
        <v>245.1</v>
      </c>
      <c r="N66">
        <v>12705.3</v>
      </c>
      <c r="O66">
        <v>37165</v>
      </c>
      <c r="P66">
        <v>380024</v>
      </c>
      <c r="Q66">
        <v>9</v>
      </c>
      <c r="R66">
        <v>74.3</v>
      </c>
      <c r="S66">
        <v>4.0468000000000002</v>
      </c>
      <c r="T66">
        <v>3.9062000000000001</v>
      </c>
    </row>
    <row r="67" spans="1:20" x14ac:dyDescent="0.2">
      <c r="A67" s="1">
        <v>40695</v>
      </c>
      <c r="B67">
        <v>1.6830000000000001</v>
      </c>
      <c r="C67">
        <v>3.1269999999999998</v>
      </c>
      <c r="D67">
        <v>1.3049999999999999</v>
      </c>
      <c r="E67">
        <v>3.6219999999999999</v>
      </c>
      <c r="F67">
        <v>224.80600000000001</v>
      </c>
      <c r="G67">
        <v>194.58699999999999</v>
      </c>
      <c r="H67">
        <v>227.51499999999999</v>
      </c>
      <c r="I67">
        <v>0.09</v>
      </c>
      <c r="J67">
        <v>10694.8</v>
      </c>
      <c r="K67">
        <v>275.2</v>
      </c>
      <c r="L67">
        <v>233.2</v>
      </c>
      <c r="M67">
        <v>251.9</v>
      </c>
      <c r="N67">
        <v>12756.9</v>
      </c>
      <c r="O67">
        <v>36409</v>
      </c>
      <c r="P67">
        <v>383142</v>
      </c>
      <c r="Q67">
        <v>9.1</v>
      </c>
      <c r="R67">
        <v>71.5</v>
      </c>
      <c r="S67">
        <v>3.9329999999999998</v>
      </c>
      <c r="T67">
        <v>3.68</v>
      </c>
    </row>
    <row r="68" spans="1:20" x14ac:dyDescent="0.2">
      <c r="A68" s="1">
        <v>40725</v>
      </c>
      <c r="B68">
        <v>1.647</v>
      </c>
      <c r="C68">
        <v>3.2530000000000001</v>
      </c>
      <c r="D68">
        <v>1.306</v>
      </c>
      <c r="E68">
        <v>3.6539999999999999</v>
      </c>
      <c r="F68">
        <v>225.39500000000001</v>
      </c>
      <c r="G68">
        <v>195.46</v>
      </c>
      <c r="H68">
        <v>228.482</v>
      </c>
      <c r="I68">
        <v>7.0000000000000007E-2</v>
      </c>
      <c r="J68">
        <v>10731.6</v>
      </c>
      <c r="K68">
        <v>262.8</v>
      </c>
      <c r="L68">
        <v>232.7</v>
      </c>
      <c r="M68">
        <v>248.6</v>
      </c>
      <c r="N68">
        <v>12805.6</v>
      </c>
      <c r="O68">
        <v>37789</v>
      </c>
      <c r="P68">
        <v>382837</v>
      </c>
      <c r="Q68">
        <v>9</v>
      </c>
      <c r="R68">
        <v>63.7</v>
      </c>
      <c r="S68">
        <v>3.9052500000000001</v>
      </c>
      <c r="T68">
        <v>3.6502500000000002</v>
      </c>
    </row>
    <row r="69" spans="1:20" x14ac:dyDescent="0.2">
      <c r="A69" s="1">
        <v>40756</v>
      </c>
      <c r="B69">
        <v>1.7110000000000001</v>
      </c>
      <c r="C69">
        <v>3.2749999999999999</v>
      </c>
      <c r="D69">
        <v>1.296</v>
      </c>
      <c r="E69">
        <v>3.7130000000000001</v>
      </c>
      <c r="F69">
        <v>226.10599999999999</v>
      </c>
      <c r="G69">
        <v>195.69399999999999</v>
      </c>
      <c r="H69">
        <v>229.63399999999999</v>
      </c>
      <c r="I69">
        <v>0.1</v>
      </c>
      <c r="J69">
        <v>10750.3</v>
      </c>
      <c r="K69">
        <v>288.3</v>
      </c>
      <c r="L69">
        <v>222.2</v>
      </c>
      <c r="M69">
        <v>252.9</v>
      </c>
      <c r="N69">
        <v>12799.7</v>
      </c>
      <c r="O69">
        <v>36986</v>
      </c>
      <c r="P69">
        <v>383691</v>
      </c>
      <c r="Q69">
        <v>9</v>
      </c>
      <c r="R69">
        <v>55.8</v>
      </c>
      <c r="S69">
        <v>3.8597999999999999</v>
      </c>
      <c r="T69">
        <v>3.6394000000000002</v>
      </c>
    </row>
    <row r="70" spans="1:20" x14ac:dyDescent="0.2">
      <c r="A70" s="1">
        <v>40787</v>
      </c>
      <c r="B70">
        <v>1.9470000000000001</v>
      </c>
      <c r="C70">
        <v>3.2170000000000001</v>
      </c>
      <c r="D70">
        <v>1.294</v>
      </c>
      <c r="E70">
        <v>3.7149999999999999</v>
      </c>
      <c r="F70">
        <v>226.59700000000001</v>
      </c>
      <c r="G70">
        <v>196.43799999999999</v>
      </c>
      <c r="H70">
        <v>230.68199999999999</v>
      </c>
      <c r="I70">
        <v>0.08</v>
      </c>
      <c r="J70">
        <v>10783.2</v>
      </c>
      <c r="K70">
        <v>285.5</v>
      </c>
      <c r="L70">
        <v>227.9</v>
      </c>
      <c r="M70">
        <v>257.5</v>
      </c>
      <c r="N70">
        <v>12781.7</v>
      </c>
      <c r="O70">
        <v>35130</v>
      </c>
      <c r="P70">
        <v>387567</v>
      </c>
      <c r="Q70">
        <v>9</v>
      </c>
      <c r="R70">
        <v>59.5</v>
      </c>
      <c r="S70">
        <v>3.83725</v>
      </c>
      <c r="T70">
        <v>3.6112500000000001</v>
      </c>
    </row>
    <row r="71" spans="1:20" x14ac:dyDescent="0.2">
      <c r="A71" s="1">
        <v>40817</v>
      </c>
      <c r="B71">
        <v>1.871</v>
      </c>
      <c r="C71">
        <v>3.1019999999999999</v>
      </c>
      <c r="D71">
        <v>1.3120000000000001</v>
      </c>
      <c r="E71">
        <v>3.6219999999999999</v>
      </c>
      <c r="F71">
        <v>226.75</v>
      </c>
      <c r="G71">
        <v>195.64699999999999</v>
      </c>
      <c r="H71">
        <v>230.899</v>
      </c>
      <c r="I71">
        <v>7.0000000000000007E-2</v>
      </c>
      <c r="J71">
        <v>10802.9</v>
      </c>
      <c r="K71">
        <v>269.8</v>
      </c>
      <c r="L71">
        <v>205.5</v>
      </c>
      <c r="M71">
        <v>247.5</v>
      </c>
      <c r="N71">
        <v>12791.9</v>
      </c>
      <c r="O71">
        <v>36144</v>
      </c>
      <c r="P71">
        <v>389853</v>
      </c>
      <c r="Q71">
        <v>8.8000000000000007</v>
      </c>
      <c r="R71">
        <v>60.8</v>
      </c>
      <c r="S71">
        <v>3.7976000000000001</v>
      </c>
      <c r="T71">
        <v>3.448</v>
      </c>
    </row>
    <row r="72" spans="1:20" x14ac:dyDescent="0.2">
      <c r="A72" s="1">
        <v>40848</v>
      </c>
      <c r="B72">
        <v>1.8360000000000001</v>
      </c>
      <c r="C72">
        <v>3.1469999999999998</v>
      </c>
      <c r="D72">
        <v>1.304</v>
      </c>
      <c r="E72">
        <v>3.5569999999999999</v>
      </c>
      <c r="F72">
        <v>227.16900000000001</v>
      </c>
      <c r="G72">
        <v>194.66499999999999</v>
      </c>
      <c r="H72">
        <v>231.11799999999999</v>
      </c>
      <c r="I72">
        <v>0.08</v>
      </c>
      <c r="J72">
        <v>10806.8</v>
      </c>
      <c r="K72">
        <v>277.5</v>
      </c>
      <c r="L72">
        <v>201.2</v>
      </c>
      <c r="M72">
        <v>242.1</v>
      </c>
      <c r="N72">
        <v>12782.7</v>
      </c>
      <c r="O72">
        <v>34057</v>
      </c>
      <c r="P72">
        <v>391274</v>
      </c>
      <c r="Q72">
        <v>8.6</v>
      </c>
      <c r="R72">
        <v>63.7</v>
      </c>
      <c r="S72">
        <v>3.9620000000000002</v>
      </c>
      <c r="T72">
        <v>3.38375</v>
      </c>
    </row>
    <row r="73" spans="1:20" x14ac:dyDescent="0.2">
      <c r="A73" s="1">
        <v>40878</v>
      </c>
      <c r="B73">
        <v>1.8740000000000001</v>
      </c>
      <c r="C73">
        <v>3.1019999999999999</v>
      </c>
      <c r="D73">
        <v>1.34</v>
      </c>
      <c r="E73">
        <v>3.5649999999999999</v>
      </c>
      <c r="F73">
        <v>227.22300000000001</v>
      </c>
      <c r="G73">
        <v>193.62700000000001</v>
      </c>
      <c r="H73">
        <v>231.55699999999999</v>
      </c>
      <c r="I73">
        <v>7.0000000000000007E-2</v>
      </c>
      <c r="J73">
        <v>10817.8</v>
      </c>
      <c r="K73">
        <v>255.5</v>
      </c>
      <c r="L73">
        <v>190.3</v>
      </c>
      <c r="M73">
        <v>234.3</v>
      </c>
      <c r="N73">
        <v>12898.5</v>
      </c>
      <c r="O73">
        <v>37307</v>
      </c>
      <c r="P73">
        <v>391510</v>
      </c>
      <c r="Q73">
        <v>8.5</v>
      </c>
      <c r="R73">
        <v>69.900000000000006</v>
      </c>
      <c r="S73">
        <v>3.8610000000000002</v>
      </c>
      <c r="T73">
        <v>3.2657500000000002</v>
      </c>
    </row>
    <row r="74" spans="1:20" x14ac:dyDescent="0.2">
      <c r="A74" s="1">
        <v>40909</v>
      </c>
      <c r="B74">
        <v>1.9390000000000001</v>
      </c>
      <c r="C74">
        <v>3.145</v>
      </c>
      <c r="D74">
        <v>1.3340000000000001</v>
      </c>
      <c r="E74">
        <v>3.5830000000000002</v>
      </c>
      <c r="F74">
        <v>227.84200000000001</v>
      </c>
      <c r="G74">
        <v>192.221</v>
      </c>
      <c r="H74">
        <v>232.21299999999999</v>
      </c>
      <c r="I74">
        <v>0.08</v>
      </c>
      <c r="J74">
        <v>10896.8</v>
      </c>
      <c r="K74">
        <v>264.10000000000002</v>
      </c>
      <c r="L74">
        <v>206.5</v>
      </c>
      <c r="M74">
        <v>234.6</v>
      </c>
      <c r="N74">
        <v>12967.5</v>
      </c>
      <c r="O74">
        <v>34564</v>
      </c>
      <c r="P74">
        <v>395469</v>
      </c>
      <c r="Q74">
        <v>8.3000000000000007</v>
      </c>
      <c r="R74">
        <v>75</v>
      </c>
      <c r="S74">
        <v>3.8325999999999998</v>
      </c>
      <c r="T74">
        <v>3.38</v>
      </c>
    </row>
    <row r="75" spans="1:20" x14ac:dyDescent="0.2">
      <c r="A75" s="1">
        <v>40940</v>
      </c>
      <c r="B75">
        <v>1.798</v>
      </c>
      <c r="C75">
        <v>3.113</v>
      </c>
      <c r="D75">
        <v>1.3560000000000001</v>
      </c>
      <c r="E75">
        <v>3.52</v>
      </c>
      <c r="F75">
        <v>228.32900000000001</v>
      </c>
      <c r="G75">
        <v>190.49199999999999</v>
      </c>
      <c r="H75">
        <v>232.14</v>
      </c>
      <c r="I75">
        <v>0.1</v>
      </c>
      <c r="J75">
        <v>10987.2</v>
      </c>
      <c r="K75">
        <v>254.5</v>
      </c>
      <c r="L75">
        <v>214.3</v>
      </c>
      <c r="M75">
        <v>235.7</v>
      </c>
      <c r="N75">
        <v>13029.6</v>
      </c>
      <c r="O75">
        <v>35522</v>
      </c>
      <c r="P75">
        <v>400300</v>
      </c>
      <c r="Q75">
        <v>8.3000000000000007</v>
      </c>
      <c r="R75">
        <v>75.3</v>
      </c>
      <c r="S75">
        <v>3.9525000000000001</v>
      </c>
      <c r="T75">
        <v>3.57925</v>
      </c>
    </row>
    <row r="76" spans="1:20" x14ac:dyDescent="0.2">
      <c r="A76" s="1">
        <v>40969</v>
      </c>
      <c r="B76">
        <v>1.774</v>
      </c>
      <c r="C76">
        <v>3.1829999999999998</v>
      </c>
      <c r="D76">
        <v>1.3720000000000001</v>
      </c>
      <c r="E76">
        <v>3.4990000000000001</v>
      </c>
      <c r="F76">
        <v>228.80699999999999</v>
      </c>
      <c r="G76">
        <v>189.745</v>
      </c>
      <c r="H76">
        <v>232.59100000000001</v>
      </c>
      <c r="I76">
        <v>0.13</v>
      </c>
      <c r="J76">
        <v>10993.9</v>
      </c>
      <c r="K76">
        <v>257.60000000000002</v>
      </c>
      <c r="L76">
        <v>229.9</v>
      </c>
      <c r="M76">
        <v>239.9</v>
      </c>
      <c r="N76">
        <v>13066.4</v>
      </c>
      <c r="O76">
        <v>39577</v>
      </c>
      <c r="P76">
        <v>401569</v>
      </c>
      <c r="Q76">
        <v>8.1999999999999993</v>
      </c>
      <c r="R76">
        <v>76.2</v>
      </c>
      <c r="S76">
        <v>4.1265000000000001</v>
      </c>
      <c r="T76">
        <v>3.85175</v>
      </c>
    </row>
    <row r="77" spans="1:20" x14ac:dyDescent="0.2">
      <c r="A77" s="1">
        <v>41000</v>
      </c>
      <c r="B77">
        <v>1.829</v>
      </c>
      <c r="C77">
        <v>3.173</v>
      </c>
      <c r="D77">
        <v>1.401</v>
      </c>
      <c r="E77">
        <v>3.4740000000000002</v>
      </c>
      <c r="F77">
        <v>229.18700000000001</v>
      </c>
      <c r="G77">
        <v>189.268</v>
      </c>
      <c r="H77">
        <v>233.04400000000001</v>
      </c>
      <c r="I77">
        <v>0.14000000000000001</v>
      </c>
      <c r="J77">
        <v>11018.5</v>
      </c>
      <c r="K77">
        <v>242.7</v>
      </c>
      <c r="L77">
        <v>243.1</v>
      </c>
      <c r="M77">
        <v>243.9</v>
      </c>
      <c r="N77">
        <v>13116.5</v>
      </c>
      <c r="O77">
        <v>37641</v>
      </c>
      <c r="P77">
        <v>399972</v>
      </c>
      <c r="Q77">
        <v>8.1999999999999993</v>
      </c>
      <c r="R77">
        <v>76.400000000000006</v>
      </c>
      <c r="S77">
        <v>4.1150000000000002</v>
      </c>
      <c r="T77">
        <v>3.9003999999999999</v>
      </c>
    </row>
    <row r="78" spans="1:20" x14ac:dyDescent="0.2">
      <c r="A78" s="1">
        <v>41030</v>
      </c>
      <c r="B78">
        <v>1.6910000000000001</v>
      </c>
      <c r="C78">
        <v>3.1230000000000002</v>
      </c>
      <c r="D78">
        <v>1.347</v>
      </c>
      <c r="E78">
        <v>3.427</v>
      </c>
      <c r="F78">
        <v>228.71299999999999</v>
      </c>
      <c r="G78">
        <v>188.02199999999999</v>
      </c>
      <c r="H78">
        <v>233.21899999999999</v>
      </c>
      <c r="I78">
        <v>0.16</v>
      </c>
      <c r="J78">
        <v>11006.8</v>
      </c>
      <c r="K78">
        <v>234.2</v>
      </c>
      <c r="L78">
        <v>240.7</v>
      </c>
      <c r="M78">
        <v>251</v>
      </c>
      <c r="N78">
        <v>13112.5</v>
      </c>
      <c r="O78">
        <v>39103</v>
      </c>
      <c r="P78">
        <v>399180</v>
      </c>
      <c r="Q78">
        <v>8.1999999999999993</v>
      </c>
      <c r="R78">
        <v>79.3</v>
      </c>
      <c r="S78">
        <v>3.9784999999999999</v>
      </c>
      <c r="T78">
        <v>3.7322500000000001</v>
      </c>
    </row>
    <row r="79" spans="1:20" x14ac:dyDescent="0.2">
      <c r="A79" s="1">
        <v>41061</v>
      </c>
      <c r="B79">
        <v>1.67</v>
      </c>
      <c r="C79">
        <v>3.1949999999999998</v>
      </c>
      <c r="D79">
        <v>1.39</v>
      </c>
      <c r="E79">
        <v>3.3959999999999999</v>
      </c>
      <c r="F79">
        <v>228.524</v>
      </c>
      <c r="G79">
        <v>188.40799999999999</v>
      </c>
      <c r="H79">
        <v>233.68299999999999</v>
      </c>
      <c r="I79">
        <v>0.16</v>
      </c>
      <c r="J79">
        <v>10989.8</v>
      </c>
      <c r="K79">
        <v>227</v>
      </c>
      <c r="L79">
        <v>245.1</v>
      </c>
      <c r="M79">
        <v>251.6</v>
      </c>
      <c r="N79">
        <v>13097.2</v>
      </c>
      <c r="O79">
        <v>38903</v>
      </c>
      <c r="P79">
        <v>395595</v>
      </c>
      <c r="Q79">
        <v>8.1999999999999993</v>
      </c>
      <c r="R79">
        <v>73.2</v>
      </c>
      <c r="S79">
        <v>3.7585000000000002</v>
      </c>
      <c r="T79">
        <v>3.5387499999999998</v>
      </c>
    </row>
    <row r="80" spans="1:20" x14ac:dyDescent="0.2">
      <c r="A80" s="1">
        <v>41091</v>
      </c>
      <c r="B80">
        <v>1.6479999999999999</v>
      </c>
      <c r="C80">
        <v>3.36</v>
      </c>
      <c r="D80">
        <v>1.454</v>
      </c>
      <c r="E80">
        <v>3.4279999999999999</v>
      </c>
      <c r="F80">
        <v>228.59</v>
      </c>
      <c r="G80">
        <v>187.54599999999999</v>
      </c>
      <c r="H80">
        <v>233.845</v>
      </c>
      <c r="I80">
        <v>0.16</v>
      </c>
      <c r="J80">
        <v>11016.8</v>
      </c>
      <c r="K80">
        <v>303.5</v>
      </c>
      <c r="L80">
        <v>274.7</v>
      </c>
      <c r="M80">
        <v>260.7</v>
      </c>
      <c r="N80">
        <v>12999.8</v>
      </c>
      <c r="O80">
        <v>38988</v>
      </c>
      <c r="P80">
        <v>397407</v>
      </c>
      <c r="Q80">
        <v>8.1999999999999993</v>
      </c>
      <c r="R80">
        <v>72.3</v>
      </c>
      <c r="S80">
        <v>3.7210000000000001</v>
      </c>
      <c r="T80">
        <v>3.4392</v>
      </c>
    </row>
    <row r="81" spans="1:20" x14ac:dyDescent="0.2">
      <c r="A81" s="1">
        <v>41122</v>
      </c>
      <c r="B81">
        <v>1.8839999999999999</v>
      </c>
      <c r="C81">
        <v>3.3679999999999999</v>
      </c>
      <c r="D81">
        <v>1.4330000000000001</v>
      </c>
      <c r="E81">
        <v>3.4740000000000002</v>
      </c>
      <c r="F81">
        <v>229.91800000000001</v>
      </c>
      <c r="G81">
        <v>188.81899999999999</v>
      </c>
      <c r="H81">
        <v>234.244</v>
      </c>
      <c r="I81">
        <v>0.13</v>
      </c>
      <c r="J81">
        <v>11056</v>
      </c>
      <c r="K81">
        <v>321.60000000000002</v>
      </c>
      <c r="L81">
        <v>282.8</v>
      </c>
      <c r="M81">
        <v>278.3</v>
      </c>
      <c r="N81">
        <v>12961.6</v>
      </c>
      <c r="O81">
        <v>39105</v>
      </c>
      <c r="P81">
        <v>402211</v>
      </c>
      <c r="Q81">
        <v>8.1</v>
      </c>
      <c r="R81">
        <v>74.3</v>
      </c>
      <c r="S81">
        <v>3.9824999999999999</v>
      </c>
      <c r="T81">
        <v>3.7214999999999998</v>
      </c>
    </row>
    <row r="82" spans="1:20" x14ac:dyDescent="0.2">
      <c r="A82" s="1">
        <v>41153</v>
      </c>
      <c r="B82">
        <v>1.889</v>
      </c>
      <c r="C82">
        <v>3.117</v>
      </c>
      <c r="D82">
        <v>1.4550000000000001</v>
      </c>
      <c r="E82">
        <v>3.4689999999999999</v>
      </c>
      <c r="F82">
        <v>231.01499999999999</v>
      </c>
      <c r="G82">
        <v>189.036</v>
      </c>
      <c r="H82">
        <v>234.404</v>
      </c>
      <c r="I82">
        <v>0.14000000000000001</v>
      </c>
      <c r="J82">
        <v>11105.3</v>
      </c>
      <c r="K82">
        <v>320.60000000000002</v>
      </c>
      <c r="L82">
        <v>289.8</v>
      </c>
      <c r="M82">
        <v>289.39999999999998</v>
      </c>
      <c r="N82">
        <v>13053.1</v>
      </c>
      <c r="O82">
        <v>36535</v>
      </c>
      <c r="P82">
        <v>405357</v>
      </c>
      <c r="Q82">
        <v>7.8</v>
      </c>
      <c r="R82">
        <v>78.3</v>
      </c>
      <c r="S82">
        <v>4.12</v>
      </c>
      <c r="T82">
        <v>3.8485</v>
      </c>
    </row>
    <row r="83" spans="1:20" x14ac:dyDescent="0.2">
      <c r="A83" s="1">
        <v>41183</v>
      </c>
      <c r="B83">
        <v>1.96</v>
      </c>
      <c r="C83">
        <v>3.4279999999999999</v>
      </c>
      <c r="D83">
        <v>1.53</v>
      </c>
      <c r="E83">
        <v>3.524</v>
      </c>
      <c r="F83">
        <v>231.63800000000001</v>
      </c>
      <c r="G83">
        <v>189.75399999999999</v>
      </c>
      <c r="H83">
        <v>234.84299999999999</v>
      </c>
      <c r="I83">
        <v>0.16</v>
      </c>
      <c r="J83">
        <v>11137.4</v>
      </c>
      <c r="K83">
        <v>321.2</v>
      </c>
      <c r="L83">
        <v>263.10000000000002</v>
      </c>
      <c r="M83">
        <v>290.5</v>
      </c>
      <c r="N83">
        <v>13142</v>
      </c>
      <c r="O83">
        <v>37241</v>
      </c>
      <c r="P83">
        <v>405437</v>
      </c>
      <c r="Q83">
        <v>7.8</v>
      </c>
      <c r="R83">
        <v>82.6</v>
      </c>
      <c r="S83">
        <v>4.0937999999999999</v>
      </c>
      <c r="T83">
        <v>3.7456</v>
      </c>
    </row>
    <row r="84" spans="1:20" x14ac:dyDescent="0.2">
      <c r="A84" s="1">
        <v>41214</v>
      </c>
      <c r="B84">
        <v>1.9630000000000001</v>
      </c>
      <c r="C84">
        <v>3.4119999999999999</v>
      </c>
      <c r="D84">
        <v>1.512</v>
      </c>
      <c r="E84">
        <v>3.536</v>
      </c>
      <c r="F84">
        <v>231.249</v>
      </c>
      <c r="G84">
        <v>191.43299999999999</v>
      </c>
      <c r="H84">
        <v>235.25299999999999</v>
      </c>
      <c r="I84">
        <v>0.16</v>
      </c>
      <c r="J84">
        <v>11178.4</v>
      </c>
      <c r="K84">
        <v>315.5</v>
      </c>
      <c r="L84">
        <v>240.7</v>
      </c>
      <c r="M84">
        <v>287.10000000000002</v>
      </c>
      <c r="N84">
        <v>13315.7</v>
      </c>
      <c r="O84">
        <v>36533</v>
      </c>
      <c r="P84">
        <v>407308</v>
      </c>
      <c r="Q84">
        <v>7.7</v>
      </c>
      <c r="R84">
        <v>82.7</v>
      </c>
      <c r="S84">
        <v>4</v>
      </c>
      <c r="T84">
        <v>3.4517500000000001</v>
      </c>
    </row>
    <row r="85" spans="1:20" x14ac:dyDescent="0.2">
      <c r="A85" s="1">
        <v>41244</v>
      </c>
      <c r="B85">
        <v>2.0070000000000001</v>
      </c>
      <c r="C85">
        <v>3.2669999999999999</v>
      </c>
      <c r="D85">
        <v>1.482</v>
      </c>
      <c r="E85">
        <v>3.58</v>
      </c>
      <c r="F85">
        <v>231.221</v>
      </c>
      <c r="G85">
        <v>191.59</v>
      </c>
      <c r="H85">
        <v>235.67699999999999</v>
      </c>
      <c r="I85">
        <v>0.16</v>
      </c>
      <c r="J85">
        <v>11181.2</v>
      </c>
      <c r="K85">
        <v>307.60000000000002</v>
      </c>
      <c r="L85">
        <v>252.3</v>
      </c>
      <c r="M85">
        <v>285.39999999999998</v>
      </c>
      <c r="N85">
        <v>13642.7</v>
      </c>
      <c r="O85">
        <v>39456</v>
      </c>
      <c r="P85">
        <v>408665</v>
      </c>
      <c r="Q85">
        <v>7.9</v>
      </c>
      <c r="R85">
        <v>72.900000000000006</v>
      </c>
      <c r="S85">
        <v>3.9607999999999999</v>
      </c>
      <c r="T85">
        <v>3.3104</v>
      </c>
    </row>
    <row r="86" spans="1:20" x14ac:dyDescent="0.2">
      <c r="A86" s="1">
        <v>41275</v>
      </c>
      <c r="B86">
        <v>1.9330000000000001</v>
      </c>
      <c r="C86">
        <v>3.3809999999999998</v>
      </c>
      <c r="D86">
        <v>1.4970000000000001</v>
      </c>
      <c r="E86">
        <v>3.5259999999999998</v>
      </c>
      <c r="F86">
        <v>231.679</v>
      </c>
      <c r="G86">
        <v>191.94300000000001</v>
      </c>
      <c r="H86">
        <v>236.011</v>
      </c>
      <c r="I86">
        <v>0.14000000000000001</v>
      </c>
      <c r="J86">
        <v>11252.4</v>
      </c>
      <c r="K86">
        <v>303.60000000000002</v>
      </c>
      <c r="L86">
        <v>246.8</v>
      </c>
      <c r="M86">
        <v>277.39999999999998</v>
      </c>
      <c r="N86">
        <v>12845.5</v>
      </c>
      <c r="O86">
        <v>36475</v>
      </c>
      <c r="P86">
        <v>412115</v>
      </c>
      <c r="Q86">
        <v>8</v>
      </c>
      <c r="R86">
        <v>73.8</v>
      </c>
      <c r="S86">
        <v>3.9085000000000001</v>
      </c>
      <c r="T86">
        <v>3.3184999999999998</v>
      </c>
    </row>
    <row r="87" spans="1:20" x14ac:dyDescent="0.2">
      <c r="A87" s="1">
        <v>41306</v>
      </c>
      <c r="B87">
        <v>1.9650000000000001</v>
      </c>
      <c r="C87">
        <v>3.278</v>
      </c>
      <c r="D87">
        <v>1.456</v>
      </c>
      <c r="E87">
        <v>3.48</v>
      </c>
      <c r="F87">
        <v>232.93700000000001</v>
      </c>
      <c r="G87">
        <v>192.625</v>
      </c>
      <c r="H87">
        <v>235.99199999999999</v>
      </c>
      <c r="I87">
        <v>0.15</v>
      </c>
      <c r="J87">
        <v>11290.5</v>
      </c>
      <c r="K87">
        <v>287</v>
      </c>
      <c r="L87">
        <v>244.9</v>
      </c>
      <c r="M87">
        <v>275.8</v>
      </c>
      <c r="N87">
        <v>12813.9</v>
      </c>
      <c r="O87">
        <v>36051</v>
      </c>
      <c r="P87">
        <v>417013</v>
      </c>
      <c r="Q87">
        <v>7.7</v>
      </c>
      <c r="R87">
        <v>77.599999999999994</v>
      </c>
      <c r="S87">
        <v>4.1105</v>
      </c>
      <c r="T87">
        <v>3.67</v>
      </c>
    </row>
    <row r="88" spans="1:20" x14ac:dyDescent="0.2">
      <c r="A88" s="1">
        <v>41334</v>
      </c>
      <c r="B88">
        <v>1.925</v>
      </c>
      <c r="C88">
        <v>3.226</v>
      </c>
      <c r="D88">
        <v>1.4710000000000001</v>
      </c>
      <c r="E88">
        <v>3.431</v>
      </c>
      <c r="F88">
        <v>232.28200000000001</v>
      </c>
      <c r="G88">
        <v>192.15700000000001</v>
      </c>
      <c r="H88">
        <v>236.21299999999999</v>
      </c>
      <c r="I88">
        <v>0.14000000000000001</v>
      </c>
      <c r="J88">
        <v>11290.1</v>
      </c>
      <c r="K88">
        <v>286.3</v>
      </c>
      <c r="L88">
        <v>254.4</v>
      </c>
      <c r="M88">
        <v>276</v>
      </c>
      <c r="N88">
        <v>12852.1</v>
      </c>
      <c r="O88">
        <v>41469</v>
      </c>
      <c r="P88">
        <v>414024</v>
      </c>
      <c r="Q88">
        <v>7.5</v>
      </c>
      <c r="R88">
        <v>78.599999999999994</v>
      </c>
      <c r="S88">
        <v>4.0677500000000002</v>
      </c>
      <c r="T88">
        <v>3.7112500000000002</v>
      </c>
    </row>
    <row r="89" spans="1:20" x14ac:dyDescent="0.2">
      <c r="A89" s="1">
        <v>41365</v>
      </c>
      <c r="B89">
        <v>1.9179999999999999</v>
      </c>
      <c r="C89">
        <v>3.266</v>
      </c>
      <c r="D89">
        <v>1.4730000000000001</v>
      </c>
      <c r="E89">
        <v>3.4279999999999999</v>
      </c>
      <c r="F89">
        <v>231.797</v>
      </c>
      <c r="G89">
        <v>194.18700000000001</v>
      </c>
      <c r="H89">
        <v>236.655</v>
      </c>
      <c r="I89">
        <v>0.15</v>
      </c>
      <c r="J89">
        <v>11281.1</v>
      </c>
      <c r="K89">
        <v>252.3</v>
      </c>
      <c r="L89">
        <v>242.5</v>
      </c>
      <c r="M89">
        <v>274.89999999999998</v>
      </c>
      <c r="N89">
        <v>12893.4</v>
      </c>
      <c r="O89">
        <v>39304</v>
      </c>
      <c r="P89">
        <v>411770</v>
      </c>
      <c r="Q89">
        <v>7.6</v>
      </c>
      <c r="R89">
        <v>76.400000000000006</v>
      </c>
      <c r="S89">
        <v>3.93</v>
      </c>
      <c r="T89">
        <v>3.5701999999999998</v>
      </c>
    </row>
    <row r="90" spans="1:20" x14ac:dyDescent="0.2">
      <c r="A90" s="1">
        <v>41395</v>
      </c>
      <c r="B90">
        <v>1.87</v>
      </c>
      <c r="C90">
        <v>3.4289999999999998</v>
      </c>
      <c r="D90">
        <v>1.466</v>
      </c>
      <c r="E90">
        <v>3.4409999999999998</v>
      </c>
      <c r="F90">
        <v>231.893</v>
      </c>
      <c r="G90">
        <v>196.39699999999999</v>
      </c>
      <c r="H90">
        <v>236.45400000000001</v>
      </c>
      <c r="I90">
        <v>0.11</v>
      </c>
      <c r="J90">
        <v>11321.6</v>
      </c>
      <c r="K90">
        <v>270.2</v>
      </c>
      <c r="L90">
        <v>254.6</v>
      </c>
      <c r="M90">
        <v>269.3</v>
      </c>
      <c r="N90">
        <v>12954.2</v>
      </c>
      <c r="O90">
        <v>41206</v>
      </c>
      <c r="P90">
        <v>414325</v>
      </c>
      <c r="Q90">
        <v>7.5</v>
      </c>
      <c r="R90">
        <v>84.5</v>
      </c>
      <c r="S90">
        <v>3.87025</v>
      </c>
      <c r="T90">
        <v>3.6147499999999999</v>
      </c>
    </row>
    <row r="91" spans="1:20" x14ac:dyDescent="0.2">
      <c r="A91" s="1">
        <v>41426</v>
      </c>
      <c r="B91">
        <v>1.859</v>
      </c>
      <c r="C91">
        <v>3.5249999999999999</v>
      </c>
      <c r="D91">
        <v>1.5089999999999999</v>
      </c>
      <c r="E91">
        <v>3.4580000000000002</v>
      </c>
      <c r="F91">
        <v>232.44499999999999</v>
      </c>
      <c r="G91">
        <v>196.11699999999999</v>
      </c>
      <c r="H91">
        <v>236.98</v>
      </c>
      <c r="I91">
        <v>0.09</v>
      </c>
      <c r="J91">
        <v>11344.4</v>
      </c>
      <c r="K91">
        <v>270.3</v>
      </c>
      <c r="L91">
        <v>265.5</v>
      </c>
      <c r="M91">
        <v>268.89999999999998</v>
      </c>
      <c r="N91">
        <v>12955.7</v>
      </c>
      <c r="O91">
        <v>39930</v>
      </c>
      <c r="P91">
        <v>415442</v>
      </c>
      <c r="Q91">
        <v>7.5</v>
      </c>
      <c r="R91">
        <v>84.1</v>
      </c>
      <c r="S91">
        <v>3.8492500000000001</v>
      </c>
      <c r="T91">
        <v>3.6259999999999999</v>
      </c>
    </row>
    <row r="92" spans="1:20" x14ac:dyDescent="0.2">
      <c r="A92" s="1">
        <v>41456</v>
      </c>
      <c r="B92">
        <v>1.833</v>
      </c>
      <c r="C92">
        <v>3.55</v>
      </c>
      <c r="D92">
        <v>1.484</v>
      </c>
      <c r="E92">
        <v>3.4489999999999998</v>
      </c>
      <c r="F92">
        <v>232.9</v>
      </c>
      <c r="G92">
        <v>195.81299999999999</v>
      </c>
      <c r="H92">
        <v>237.184</v>
      </c>
      <c r="I92">
        <v>0.09</v>
      </c>
      <c r="J92">
        <v>11372.6</v>
      </c>
      <c r="K92">
        <v>270.8</v>
      </c>
      <c r="L92">
        <v>274.60000000000002</v>
      </c>
      <c r="M92">
        <v>274.3</v>
      </c>
      <c r="N92">
        <v>12941.8</v>
      </c>
      <c r="O92">
        <v>40125</v>
      </c>
      <c r="P92">
        <v>418110</v>
      </c>
      <c r="Q92">
        <v>7.3</v>
      </c>
      <c r="R92">
        <v>85.1</v>
      </c>
      <c r="S92">
        <v>3.8660000000000001</v>
      </c>
      <c r="T92">
        <v>3.5910000000000002</v>
      </c>
    </row>
    <row r="93" spans="1:20" x14ac:dyDescent="0.2">
      <c r="A93" s="1">
        <v>41487</v>
      </c>
      <c r="B93">
        <v>1.8380000000000001</v>
      </c>
      <c r="C93">
        <v>3.5990000000000002</v>
      </c>
      <c r="D93">
        <v>1.4890000000000001</v>
      </c>
      <c r="E93">
        <v>3.448</v>
      </c>
      <c r="F93">
        <v>233.45599999999999</v>
      </c>
      <c r="G93">
        <v>194.73</v>
      </c>
      <c r="H93">
        <v>237.45099999999999</v>
      </c>
      <c r="I93">
        <v>0.08</v>
      </c>
      <c r="J93">
        <v>11406.6</v>
      </c>
      <c r="K93">
        <v>226.6</v>
      </c>
      <c r="L93">
        <v>225.6</v>
      </c>
      <c r="M93">
        <v>271.2</v>
      </c>
      <c r="N93">
        <v>12969.6</v>
      </c>
      <c r="O93">
        <v>41042</v>
      </c>
      <c r="P93">
        <v>417377</v>
      </c>
      <c r="Q93">
        <v>7.2</v>
      </c>
      <c r="R93">
        <v>82.1</v>
      </c>
      <c r="S93">
        <v>3.9045000000000001</v>
      </c>
      <c r="T93">
        <v>3.57375</v>
      </c>
    </row>
    <row r="94" spans="1:20" x14ac:dyDescent="0.2">
      <c r="A94" s="1">
        <v>41518</v>
      </c>
      <c r="B94">
        <v>1.897</v>
      </c>
      <c r="C94">
        <v>3.6080000000000001</v>
      </c>
      <c r="D94">
        <v>1.528</v>
      </c>
      <c r="E94">
        <v>3.4279999999999999</v>
      </c>
      <c r="F94">
        <v>233.54400000000001</v>
      </c>
      <c r="G94">
        <v>195.904</v>
      </c>
      <c r="H94">
        <v>237.51900000000001</v>
      </c>
      <c r="I94">
        <v>0.08</v>
      </c>
      <c r="J94">
        <v>11445.9</v>
      </c>
      <c r="K94">
        <v>202.2</v>
      </c>
      <c r="L94">
        <v>241.6</v>
      </c>
      <c r="M94">
        <v>260.39999999999998</v>
      </c>
      <c r="N94">
        <v>13027.5</v>
      </c>
      <c r="O94">
        <v>37387</v>
      </c>
      <c r="P94">
        <v>417654</v>
      </c>
      <c r="Q94">
        <v>7.2</v>
      </c>
      <c r="R94">
        <v>77.5</v>
      </c>
      <c r="S94">
        <v>3.9607999999999999</v>
      </c>
      <c r="T94">
        <v>3.5324</v>
      </c>
    </row>
    <row r="95" spans="1:20" x14ac:dyDescent="0.2">
      <c r="A95" s="1">
        <v>41548</v>
      </c>
      <c r="B95">
        <v>1.925</v>
      </c>
      <c r="C95">
        <v>3.6520000000000001</v>
      </c>
      <c r="D95">
        <v>1.5429999999999999</v>
      </c>
      <c r="E95">
        <v>3.4620000000000002</v>
      </c>
      <c r="F95">
        <v>233.66900000000001</v>
      </c>
      <c r="G95">
        <v>195.98500000000001</v>
      </c>
      <c r="H95">
        <v>237.75</v>
      </c>
      <c r="I95">
        <v>0.09</v>
      </c>
      <c r="J95">
        <v>11498</v>
      </c>
      <c r="K95">
        <v>185.8</v>
      </c>
      <c r="L95">
        <v>222.2</v>
      </c>
      <c r="M95">
        <v>246</v>
      </c>
      <c r="N95">
        <v>12974.6</v>
      </c>
      <c r="O95">
        <v>39295</v>
      </c>
      <c r="P95">
        <v>419247</v>
      </c>
      <c r="Q95">
        <v>7.2</v>
      </c>
      <c r="R95">
        <v>73.2</v>
      </c>
      <c r="S95">
        <v>3.8847499999999999</v>
      </c>
      <c r="T95">
        <v>3.34375</v>
      </c>
    </row>
    <row r="96" spans="1:20" x14ac:dyDescent="0.2">
      <c r="A96" s="1">
        <v>41579</v>
      </c>
      <c r="B96">
        <v>1.925</v>
      </c>
      <c r="C96">
        <v>3.45</v>
      </c>
      <c r="D96">
        <v>1.518</v>
      </c>
      <c r="E96">
        <v>3.4910000000000001</v>
      </c>
      <c r="F96">
        <v>234.1</v>
      </c>
      <c r="G96">
        <v>195.995</v>
      </c>
      <c r="H96">
        <v>237.947</v>
      </c>
      <c r="I96">
        <v>0.08</v>
      </c>
      <c r="J96">
        <v>11562.5</v>
      </c>
      <c r="K96">
        <v>182.1</v>
      </c>
      <c r="L96">
        <v>226.3</v>
      </c>
      <c r="M96">
        <v>230.3</v>
      </c>
      <c r="N96">
        <v>12998.9</v>
      </c>
      <c r="O96">
        <v>38973</v>
      </c>
      <c r="P96">
        <v>420513</v>
      </c>
      <c r="Q96">
        <v>6.9</v>
      </c>
      <c r="R96">
        <v>75.099999999999994</v>
      </c>
      <c r="S96">
        <v>3.8387500000000001</v>
      </c>
      <c r="T96">
        <v>3.24275</v>
      </c>
    </row>
    <row r="97" spans="1:20" x14ac:dyDescent="0.2">
      <c r="A97" s="1">
        <v>41609</v>
      </c>
      <c r="B97">
        <v>2.0259999999999998</v>
      </c>
      <c r="C97">
        <v>3.46</v>
      </c>
      <c r="D97">
        <v>1.52</v>
      </c>
      <c r="E97">
        <v>3.5009999999999999</v>
      </c>
      <c r="F97">
        <v>234.71899999999999</v>
      </c>
      <c r="G97">
        <v>196.18</v>
      </c>
      <c r="H97">
        <v>238.18199999999999</v>
      </c>
      <c r="I97">
        <v>0.09</v>
      </c>
      <c r="J97">
        <v>11593.2</v>
      </c>
      <c r="K97">
        <v>176.7</v>
      </c>
      <c r="L97">
        <v>227.4</v>
      </c>
      <c r="M97">
        <v>226.1</v>
      </c>
      <c r="N97">
        <v>13019.1</v>
      </c>
      <c r="O97">
        <v>40667</v>
      </c>
      <c r="P97">
        <v>422794</v>
      </c>
      <c r="Q97">
        <v>6.7</v>
      </c>
      <c r="R97">
        <v>82.5</v>
      </c>
      <c r="S97">
        <v>3.8818000000000001</v>
      </c>
      <c r="T97">
        <v>3.2764000000000002</v>
      </c>
    </row>
    <row r="98" spans="1:20" x14ac:dyDescent="0.2">
      <c r="A98" s="1">
        <v>41640</v>
      </c>
      <c r="B98">
        <v>2.008</v>
      </c>
      <c r="C98">
        <v>3.427</v>
      </c>
      <c r="D98">
        <v>1.5289999999999999</v>
      </c>
      <c r="E98">
        <v>3.552</v>
      </c>
      <c r="F98">
        <v>235.28800000000001</v>
      </c>
      <c r="G98">
        <v>199.864</v>
      </c>
      <c r="H98">
        <v>238.49199999999999</v>
      </c>
      <c r="I98">
        <v>7.0000000000000007E-2</v>
      </c>
      <c r="J98">
        <v>11578.8</v>
      </c>
      <c r="K98">
        <v>173.5</v>
      </c>
      <c r="L98">
        <v>224.9</v>
      </c>
      <c r="M98">
        <v>230.2</v>
      </c>
      <c r="N98">
        <v>13079.5</v>
      </c>
      <c r="O98">
        <v>37597</v>
      </c>
      <c r="P98">
        <v>419015</v>
      </c>
      <c r="Q98">
        <v>6.6</v>
      </c>
      <c r="R98">
        <v>81.2</v>
      </c>
      <c r="S98">
        <v>3.8932500000000001</v>
      </c>
      <c r="T98">
        <v>3.3125</v>
      </c>
    </row>
    <row r="99" spans="1:20" x14ac:dyDescent="0.2">
      <c r="A99" s="1">
        <v>41671</v>
      </c>
      <c r="B99">
        <v>1.998</v>
      </c>
      <c r="C99">
        <v>3.3839999999999999</v>
      </c>
      <c r="D99">
        <v>1.504</v>
      </c>
      <c r="E99">
        <v>3.5609999999999999</v>
      </c>
      <c r="F99">
        <v>235.547</v>
      </c>
      <c r="G99">
        <v>201.22399999999999</v>
      </c>
      <c r="H99">
        <v>239.40799999999999</v>
      </c>
      <c r="I99">
        <v>7.0000000000000007E-2</v>
      </c>
      <c r="J99">
        <v>11636.9</v>
      </c>
      <c r="K99">
        <v>174.8</v>
      </c>
      <c r="L99">
        <v>227.1</v>
      </c>
      <c r="M99">
        <v>228.4</v>
      </c>
      <c r="N99">
        <v>13148</v>
      </c>
      <c r="O99">
        <v>37362</v>
      </c>
      <c r="P99">
        <v>424793</v>
      </c>
      <c r="Q99">
        <v>6.7</v>
      </c>
      <c r="R99">
        <v>81.599999999999994</v>
      </c>
      <c r="S99">
        <v>3.9834999999999998</v>
      </c>
      <c r="T99">
        <v>3.3562500000000002</v>
      </c>
    </row>
    <row r="100" spans="1:20" x14ac:dyDescent="0.2">
      <c r="A100" s="1">
        <v>41699</v>
      </c>
      <c r="B100">
        <v>2.0609999999999999</v>
      </c>
      <c r="C100">
        <v>3.468</v>
      </c>
      <c r="D100">
        <v>1.544</v>
      </c>
      <c r="E100">
        <v>3.669</v>
      </c>
      <c r="F100">
        <v>236.02799999999999</v>
      </c>
      <c r="G100">
        <v>206.971</v>
      </c>
      <c r="H100">
        <v>240.447</v>
      </c>
      <c r="I100">
        <v>0.08</v>
      </c>
      <c r="J100">
        <v>11722.3</v>
      </c>
      <c r="K100">
        <v>179.9</v>
      </c>
      <c r="L100">
        <v>241</v>
      </c>
      <c r="M100">
        <v>233.9</v>
      </c>
      <c r="N100">
        <v>13219.9</v>
      </c>
      <c r="O100">
        <v>43237</v>
      </c>
      <c r="P100">
        <v>429132</v>
      </c>
      <c r="Q100">
        <v>6.7</v>
      </c>
      <c r="R100">
        <v>80</v>
      </c>
      <c r="S100">
        <v>4.0006000000000004</v>
      </c>
      <c r="T100">
        <v>3.5331999999999999</v>
      </c>
    </row>
    <row r="101" spans="1:20" x14ac:dyDescent="0.2">
      <c r="A101" s="1">
        <v>41730</v>
      </c>
      <c r="B101">
        <v>2.1190000000000002</v>
      </c>
      <c r="C101">
        <v>3.3919999999999999</v>
      </c>
      <c r="D101">
        <v>1.53</v>
      </c>
      <c r="E101">
        <v>3.6869999999999998</v>
      </c>
      <c r="F101">
        <v>236.46799999999999</v>
      </c>
      <c r="G101">
        <v>202.45099999999999</v>
      </c>
      <c r="H101">
        <v>241.24100000000001</v>
      </c>
      <c r="I101">
        <v>0.09</v>
      </c>
      <c r="J101">
        <v>11762.3</v>
      </c>
      <c r="K101">
        <v>188.7</v>
      </c>
      <c r="L101">
        <v>257.89999999999998</v>
      </c>
      <c r="M101">
        <v>240.2</v>
      </c>
      <c r="N101">
        <v>13270.2</v>
      </c>
      <c r="O101">
        <v>41476</v>
      </c>
      <c r="P101">
        <v>433530</v>
      </c>
      <c r="Q101">
        <v>6.2</v>
      </c>
      <c r="R101">
        <v>84.1</v>
      </c>
      <c r="S101">
        <v>3.9642499999999998</v>
      </c>
      <c r="T101">
        <v>3.6607500000000002</v>
      </c>
    </row>
    <row r="102" spans="1:20" x14ac:dyDescent="0.2">
      <c r="A102" s="1">
        <v>41760</v>
      </c>
      <c r="B102">
        <v>1.996</v>
      </c>
      <c r="C102">
        <v>3.4740000000000002</v>
      </c>
      <c r="D102">
        <v>1.556</v>
      </c>
      <c r="E102">
        <v>3.7349999999999999</v>
      </c>
      <c r="F102">
        <v>236.91800000000001</v>
      </c>
      <c r="G102">
        <v>204.98</v>
      </c>
      <c r="H102">
        <v>242.40799999999999</v>
      </c>
      <c r="I102">
        <v>0.09</v>
      </c>
      <c r="J102">
        <v>11807.3</v>
      </c>
      <c r="K102">
        <v>191</v>
      </c>
      <c r="L102">
        <v>255.4</v>
      </c>
      <c r="M102">
        <v>245.1</v>
      </c>
      <c r="N102">
        <v>13312.9</v>
      </c>
      <c r="O102">
        <v>44415</v>
      </c>
      <c r="P102">
        <v>434248</v>
      </c>
      <c r="Q102">
        <v>6.3</v>
      </c>
      <c r="R102">
        <v>81.900000000000006</v>
      </c>
      <c r="S102">
        <v>3.9427500000000002</v>
      </c>
      <c r="T102">
        <v>3.6727500000000002</v>
      </c>
    </row>
    <row r="103" spans="1:20" x14ac:dyDescent="0.2">
      <c r="A103" s="1">
        <v>41791</v>
      </c>
      <c r="B103">
        <v>1.948</v>
      </c>
      <c r="C103">
        <v>3.504</v>
      </c>
      <c r="D103">
        <v>1.5029999999999999</v>
      </c>
      <c r="E103">
        <v>3.6259999999999999</v>
      </c>
      <c r="F103">
        <v>237.23099999999999</v>
      </c>
      <c r="G103">
        <v>205.072</v>
      </c>
      <c r="H103">
        <v>242.64599999999999</v>
      </c>
      <c r="I103">
        <v>0.1</v>
      </c>
      <c r="J103">
        <v>11861.7</v>
      </c>
      <c r="K103">
        <v>169.5</v>
      </c>
      <c r="L103">
        <v>250.3</v>
      </c>
      <c r="M103">
        <v>244.5</v>
      </c>
      <c r="N103">
        <v>13360.4</v>
      </c>
      <c r="O103">
        <v>42120</v>
      </c>
      <c r="P103">
        <v>435438</v>
      </c>
      <c r="Q103">
        <v>6.1</v>
      </c>
      <c r="R103">
        <v>82.5</v>
      </c>
      <c r="S103">
        <v>3.9062000000000001</v>
      </c>
      <c r="T103">
        <v>3.6916000000000002</v>
      </c>
    </row>
    <row r="104" spans="1:20" x14ac:dyDescent="0.2">
      <c r="A104" s="1">
        <v>41821</v>
      </c>
      <c r="B104">
        <v>1.95</v>
      </c>
      <c r="C104">
        <v>3.444</v>
      </c>
      <c r="D104">
        <v>1.4950000000000001</v>
      </c>
      <c r="E104">
        <v>3.645</v>
      </c>
      <c r="F104">
        <v>237.49799999999999</v>
      </c>
      <c r="G104">
        <v>205.44200000000001</v>
      </c>
      <c r="H104">
        <v>243.23500000000001</v>
      </c>
      <c r="I104">
        <v>0.09</v>
      </c>
      <c r="J104">
        <v>11904.4</v>
      </c>
      <c r="K104">
        <v>147.5</v>
      </c>
      <c r="L104">
        <v>212.6</v>
      </c>
      <c r="M104">
        <v>240.4</v>
      </c>
      <c r="N104">
        <v>13386.8</v>
      </c>
      <c r="O104">
        <v>42995</v>
      </c>
      <c r="P104">
        <v>436150</v>
      </c>
      <c r="Q104">
        <v>6.2</v>
      </c>
      <c r="R104">
        <v>81.8</v>
      </c>
      <c r="S104">
        <v>3.8835000000000002</v>
      </c>
      <c r="T104">
        <v>3.6112500000000001</v>
      </c>
    </row>
    <row r="105" spans="1:20" x14ac:dyDescent="0.2">
      <c r="A105" s="1">
        <v>41852</v>
      </c>
      <c r="B105">
        <v>1.9790000000000001</v>
      </c>
      <c r="C105">
        <v>3.476</v>
      </c>
      <c r="D105">
        <v>1.5720000000000001</v>
      </c>
      <c r="E105">
        <v>3.673</v>
      </c>
      <c r="F105">
        <v>237.46</v>
      </c>
      <c r="G105">
        <v>203.85</v>
      </c>
      <c r="H105">
        <v>243.792</v>
      </c>
      <c r="I105">
        <v>0.09</v>
      </c>
      <c r="J105">
        <v>11983.7</v>
      </c>
      <c r="K105">
        <v>146.9</v>
      </c>
      <c r="L105">
        <v>196.2</v>
      </c>
      <c r="M105">
        <v>228.5</v>
      </c>
      <c r="N105">
        <v>13445.9</v>
      </c>
      <c r="O105">
        <v>44086</v>
      </c>
      <c r="P105">
        <v>439518</v>
      </c>
      <c r="Q105">
        <v>6.1</v>
      </c>
      <c r="R105">
        <v>82.5</v>
      </c>
      <c r="S105">
        <v>3.8380000000000001</v>
      </c>
      <c r="T105">
        <v>3.4864999999999999</v>
      </c>
    </row>
    <row r="106" spans="1:20" x14ac:dyDescent="0.2">
      <c r="A106" s="1">
        <v>41883</v>
      </c>
      <c r="B106">
        <v>1.97</v>
      </c>
      <c r="C106">
        <v>3.4809999999999999</v>
      </c>
      <c r="D106">
        <v>1.5429999999999999</v>
      </c>
      <c r="E106">
        <v>3.7320000000000002</v>
      </c>
      <c r="F106">
        <v>237.477</v>
      </c>
      <c r="G106">
        <v>203.24100000000001</v>
      </c>
      <c r="H106">
        <v>244.48</v>
      </c>
      <c r="I106">
        <v>0.09</v>
      </c>
      <c r="J106">
        <v>11991.4</v>
      </c>
      <c r="K106">
        <v>140.19999999999999</v>
      </c>
      <c r="L106">
        <v>180.9</v>
      </c>
      <c r="M106">
        <v>221.6</v>
      </c>
      <c r="N106">
        <v>13486.3</v>
      </c>
      <c r="O106">
        <v>40450</v>
      </c>
      <c r="P106">
        <v>438459</v>
      </c>
      <c r="Q106">
        <v>5.9</v>
      </c>
      <c r="R106">
        <v>84.6</v>
      </c>
      <c r="S106">
        <v>3.7924000000000002</v>
      </c>
      <c r="T106">
        <v>3.4062000000000001</v>
      </c>
    </row>
    <row r="107" spans="1:20" x14ac:dyDescent="0.2">
      <c r="A107" s="1">
        <v>41913</v>
      </c>
      <c r="B107">
        <v>1.9510000000000001</v>
      </c>
      <c r="C107">
        <v>3.4860000000000002</v>
      </c>
      <c r="D107">
        <v>1.5489999999999999</v>
      </c>
      <c r="E107">
        <v>3.766</v>
      </c>
      <c r="F107">
        <v>237.43</v>
      </c>
      <c r="G107">
        <v>202.51400000000001</v>
      </c>
      <c r="H107">
        <v>244.86600000000001</v>
      </c>
      <c r="I107">
        <v>0.09</v>
      </c>
      <c r="J107">
        <v>12064.7</v>
      </c>
      <c r="K107">
        <v>138.69999999999999</v>
      </c>
      <c r="L107">
        <v>164.1</v>
      </c>
      <c r="M107">
        <v>213.1</v>
      </c>
      <c r="N107">
        <v>13550.7</v>
      </c>
      <c r="O107">
        <v>43124</v>
      </c>
      <c r="P107">
        <v>440095</v>
      </c>
      <c r="Q107">
        <v>5.7</v>
      </c>
      <c r="R107">
        <v>86.9</v>
      </c>
      <c r="S107">
        <v>3.6804999999999999</v>
      </c>
      <c r="T107">
        <v>3.1705000000000001</v>
      </c>
    </row>
    <row r="108" spans="1:20" x14ac:dyDescent="0.2">
      <c r="A108" s="1">
        <v>41944</v>
      </c>
      <c r="B108">
        <v>2.032</v>
      </c>
      <c r="C108">
        <v>3.5270000000000001</v>
      </c>
      <c r="D108">
        <v>1.5329999999999999</v>
      </c>
      <c r="E108">
        <v>3.8580000000000001</v>
      </c>
      <c r="F108">
        <v>236.983</v>
      </c>
      <c r="G108">
        <v>201.607</v>
      </c>
      <c r="H108">
        <v>245.39400000000001</v>
      </c>
      <c r="I108">
        <v>0.09</v>
      </c>
      <c r="J108">
        <v>12083.9</v>
      </c>
      <c r="K108">
        <v>148.6</v>
      </c>
      <c r="L108">
        <v>175.4</v>
      </c>
      <c r="M108">
        <v>205.2</v>
      </c>
      <c r="N108">
        <v>13624.4</v>
      </c>
      <c r="O108">
        <v>41392</v>
      </c>
      <c r="P108">
        <v>441249</v>
      </c>
      <c r="Q108">
        <v>5.8</v>
      </c>
      <c r="R108">
        <v>88.8</v>
      </c>
      <c r="S108">
        <v>3.6472500000000001</v>
      </c>
      <c r="T108">
        <v>2.9122499999999998</v>
      </c>
    </row>
    <row r="109" spans="1:20" x14ac:dyDescent="0.2">
      <c r="A109" s="1">
        <v>41974</v>
      </c>
      <c r="B109">
        <v>2.21</v>
      </c>
      <c r="C109">
        <v>3.4820000000000002</v>
      </c>
      <c r="D109">
        <v>1.5409999999999999</v>
      </c>
      <c r="E109">
        <v>3.82</v>
      </c>
      <c r="F109">
        <v>236.25200000000001</v>
      </c>
      <c r="G109">
        <v>203.47300000000001</v>
      </c>
      <c r="H109">
        <v>246.23699999999999</v>
      </c>
      <c r="I109">
        <v>0.12</v>
      </c>
      <c r="J109">
        <v>12096.1</v>
      </c>
      <c r="K109">
        <v>153.30000000000001</v>
      </c>
      <c r="L109">
        <v>177.6</v>
      </c>
      <c r="M109">
        <v>209.7</v>
      </c>
      <c r="N109">
        <v>13719.1</v>
      </c>
      <c r="O109">
        <v>44769</v>
      </c>
      <c r="P109">
        <v>438509</v>
      </c>
      <c r="Q109">
        <v>5.6</v>
      </c>
      <c r="R109">
        <v>93.6</v>
      </c>
      <c r="S109">
        <v>3.4106000000000001</v>
      </c>
      <c r="T109">
        <v>2.5426000000000002</v>
      </c>
    </row>
    <row r="110" spans="1:20" x14ac:dyDescent="0.2">
      <c r="A110" s="1">
        <v>42005</v>
      </c>
      <c r="B110">
        <v>2.113</v>
      </c>
      <c r="C110">
        <v>3.4380000000000002</v>
      </c>
      <c r="D110">
        <v>1.546</v>
      </c>
      <c r="E110">
        <v>3.758</v>
      </c>
      <c r="F110">
        <v>234.74700000000001</v>
      </c>
      <c r="G110">
        <v>203.197</v>
      </c>
      <c r="H110">
        <v>246.197</v>
      </c>
      <c r="I110">
        <v>0.11</v>
      </c>
      <c r="J110">
        <v>12066.7</v>
      </c>
      <c r="K110">
        <v>151.9</v>
      </c>
      <c r="L110">
        <v>168.5</v>
      </c>
      <c r="M110">
        <v>216.8</v>
      </c>
      <c r="N110">
        <v>13797.7</v>
      </c>
      <c r="O110">
        <v>42328</v>
      </c>
      <c r="P110">
        <v>436125</v>
      </c>
      <c r="Q110">
        <v>5.7</v>
      </c>
      <c r="R110">
        <v>98.1</v>
      </c>
      <c r="S110">
        <v>2.9972500000000002</v>
      </c>
      <c r="T110">
        <v>2.1157499999999998</v>
      </c>
    </row>
    <row r="111" spans="1:20" x14ac:dyDescent="0.2">
      <c r="A111" s="1">
        <v>42036</v>
      </c>
      <c r="B111">
        <v>2.0880000000000001</v>
      </c>
      <c r="C111">
        <v>3.5110000000000001</v>
      </c>
      <c r="D111">
        <v>1.55</v>
      </c>
      <c r="E111">
        <v>3.496</v>
      </c>
      <c r="F111">
        <v>235.34200000000001</v>
      </c>
      <c r="G111">
        <v>202.869</v>
      </c>
      <c r="H111">
        <v>246.495</v>
      </c>
      <c r="I111">
        <v>0.11</v>
      </c>
      <c r="J111">
        <v>12116.6</v>
      </c>
      <c r="K111">
        <v>151.6</v>
      </c>
      <c r="L111">
        <v>163.5</v>
      </c>
      <c r="M111">
        <v>213.7</v>
      </c>
      <c r="N111">
        <v>13848</v>
      </c>
      <c r="O111">
        <v>40869</v>
      </c>
      <c r="P111">
        <v>435450</v>
      </c>
      <c r="Q111">
        <v>5.5</v>
      </c>
      <c r="R111">
        <v>95.4</v>
      </c>
      <c r="S111">
        <v>2.8577499999999998</v>
      </c>
      <c r="T111">
        <v>2.2162500000000001</v>
      </c>
    </row>
    <row r="112" spans="1:20" x14ac:dyDescent="0.2">
      <c r="A112" s="1">
        <v>42064</v>
      </c>
      <c r="B112">
        <v>2.133</v>
      </c>
      <c r="C112">
        <v>3.5219999999999998</v>
      </c>
      <c r="D112">
        <v>1.5449999999999999</v>
      </c>
      <c r="E112">
        <v>3.4630000000000001</v>
      </c>
      <c r="F112">
        <v>235.976</v>
      </c>
      <c r="G112">
        <v>200.887</v>
      </c>
      <c r="H112">
        <v>246.072</v>
      </c>
      <c r="I112">
        <v>0.11</v>
      </c>
      <c r="J112">
        <v>12176.1</v>
      </c>
      <c r="K112">
        <v>146.4</v>
      </c>
      <c r="L112">
        <v>167</v>
      </c>
      <c r="M112">
        <v>212.4</v>
      </c>
      <c r="N112">
        <v>13811.3</v>
      </c>
      <c r="O112">
        <v>46920</v>
      </c>
      <c r="P112">
        <v>441895</v>
      </c>
      <c r="Q112">
        <v>5.4</v>
      </c>
      <c r="R112">
        <v>93</v>
      </c>
      <c r="S112">
        <v>2.8969999999999998</v>
      </c>
      <c r="T112">
        <v>2.4636</v>
      </c>
    </row>
    <row r="113" spans="1:20" x14ac:dyDescent="0.2">
      <c r="A113" s="1">
        <v>42095</v>
      </c>
      <c r="B113">
        <v>2.0649999999999999</v>
      </c>
      <c r="C113">
        <v>3.504</v>
      </c>
      <c r="D113">
        <v>1.5389999999999999</v>
      </c>
      <c r="E113">
        <v>3.3969999999999998</v>
      </c>
      <c r="F113">
        <v>236.22200000000001</v>
      </c>
      <c r="G113">
        <v>199.886</v>
      </c>
      <c r="H113">
        <v>246.00200000000001</v>
      </c>
      <c r="I113">
        <v>0.12</v>
      </c>
      <c r="J113">
        <v>12209.1</v>
      </c>
      <c r="K113">
        <v>142.4</v>
      </c>
      <c r="L113">
        <v>164.5</v>
      </c>
      <c r="M113">
        <v>210.7</v>
      </c>
      <c r="N113">
        <v>13842</v>
      </c>
      <c r="O113">
        <v>45691</v>
      </c>
      <c r="P113">
        <v>442967</v>
      </c>
      <c r="Q113">
        <v>5.4</v>
      </c>
      <c r="R113">
        <v>95.9</v>
      </c>
      <c r="S113">
        <v>2.7822499999999999</v>
      </c>
      <c r="T113">
        <v>2.4689999999999999</v>
      </c>
    </row>
    <row r="114" spans="1:20" x14ac:dyDescent="0.2">
      <c r="A114" s="1">
        <v>42125</v>
      </c>
      <c r="B114">
        <v>1.962</v>
      </c>
      <c r="C114">
        <v>3.4079999999999999</v>
      </c>
      <c r="D114">
        <v>1.4830000000000001</v>
      </c>
      <c r="E114">
        <v>3.387</v>
      </c>
      <c r="F114">
        <v>237.001</v>
      </c>
      <c r="G114">
        <v>198.15700000000001</v>
      </c>
      <c r="H114">
        <v>246.239</v>
      </c>
      <c r="I114">
        <v>0.12</v>
      </c>
      <c r="J114">
        <v>12275.4</v>
      </c>
      <c r="K114">
        <v>137.30000000000001</v>
      </c>
      <c r="L114">
        <v>159.80000000000001</v>
      </c>
      <c r="M114">
        <v>207.2</v>
      </c>
      <c r="N114">
        <v>13865.6</v>
      </c>
      <c r="O114">
        <v>48714</v>
      </c>
      <c r="P114">
        <v>446114</v>
      </c>
      <c r="Q114">
        <v>5.6</v>
      </c>
      <c r="R114">
        <v>90.7</v>
      </c>
      <c r="S114">
        <v>2.8875000000000002</v>
      </c>
      <c r="T114">
        <v>2.7182499999999998</v>
      </c>
    </row>
    <row r="115" spans="1:20" x14ac:dyDescent="0.2">
      <c r="A115" s="1">
        <v>42156</v>
      </c>
      <c r="B115">
        <v>2.57</v>
      </c>
      <c r="C115">
        <v>3.3879999999999999</v>
      </c>
      <c r="D115">
        <v>1.5149999999999999</v>
      </c>
      <c r="E115">
        <v>3.3660000000000001</v>
      </c>
      <c r="F115">
        <v>237.65700000000001</v>
      </c>
      <c r="G115">
        <v>199.148</v>
      </c>
      <c r="H115">
        <v>246.93700000000001</v>
      </c>
      <c r="I115">
        <v>0.13</v>
      </c>
      <c r="J115">
        <v>12307.9</v>
      </c>
      <c r="K115">
        <v>135.9</v>
      </c>
      <c r="L115">
        <v>164.4</v>
      </c>
      <c r="M115">
        <v>202.4</v>
      </c>
      <c r="N115">
        <v>13874.1</v>
      </c>
      <c r="O115">
        <v>46060</v>
      </c>
      <c r="P115">
        <v>446572</v>
      </c>
      <c r="Q115">
        <v>5.3</v>
      </c>
      <c r="R115">
        <v>96.1</v>
      </c>
      <c r="S115">
        <v>2.8730000000000002</v>
      </c>
      <c r="T115">
        <v>2.8016000000000001</v>
      </c>
    </row>
    <row r="116" spans="1:20" x14ac:dyDescent="0.2">
      <c r="A116" s="1">
        <v>42186</v>
      </c>
      <c r="B116">
        <v>2.57</v>
      </c>
      <c r="C116">
        <v>3.3780000000000001</v>
      </c>
      <c r="D116">
        <v>1.4870000000000001</v>
      </c>
      <c r="E116">
        <v>3.43</v>
      </c>
      <c r="F116">
        <v>238.03399999999999</v>
      </c>
      <c r="G116">
        <v>197.97399999999999</v>
      </c>
      <c r="H116">
        <v>247.15700000000001</v>
      </c>
      <c r="I116">
        <v>0.13</v>
      </c>
      <c r="J116">
        <v>12364.9</v>
      </c>
      <c r="K116">
        <v>163.80000000000001</v>
      </c>
      <c r="L116">
        <v>176.4</v>
      </c>
      <c r="M116">
        <v>202.2</v>
      </c>
      <c r="N116">
        <v>13905.7</v>
      </c>
      <c r="O116">
        <v>47018</v>
      </c>
      <c r="P116">
        <v>450143</v>
      </c>
      <c r="Q116">
        <v>5.2</v>
      </c>
      <c r="R116">
        <v>93.1</v>
      </c>
      <c r="S116">
        <v>2.78775</v>
      </c>
      <c r="T116">
        <v>2.7934999999999999</v>
      </c>
    </row>
    <row r="117" spans="1:20" x14ac:dyDescent="0.2">
      <c r="A117" s="1">
        <v>42217</v>
      </c>
      <c r="B117">
        <v>2.9430000000000001</v>
      </c>
      <c r="C117">
        <v>3.4060000000000001</v>
      </c>
      <c r="D117">
        <v>1.4279999999999999</v>
      </c>
      <c r="E117">
        <v>3.3889999999999998</v>
      </c>
      <c r="F117">
        <v>238.03299999999999</v>
      </c>
      <c r="G117">
        <v>197.905</v>
      </c>
      <c r="H117">
        <v>247.74199999999999</v>
      </c>
      <c r="I117">
        <v>0.14000000000000001</v>
      </c>
      <c r="J117">
        <v>12396.2</v>
      </c>
      <c r="K117">
        <v>153.9</v>
      </c>
      <c r="L117">
        <v>169.5</v>
      </c>
      <c r="M117">
        <v>207.5</v>
      </c>
      <c r="N117">
        <v>13935.8</v>
      </c>
      <c r="O117">
        <v>46831</v>
      </c>
      <c r="P117">
        <v>450168</v>
      </c>
      <c r="Q117">
        <v>5.0999999999999996</v>
      </c>
      <c r="R117">
        <v>91.9</v>
      </c>
      <c r="S117">
        <v>2.5950000000000002</v>
      </c>
      <c r="T117">
        <v>2.6362000000000001</v>
      </c>
    </row>
    <row r="118" spans="1:20" x14ac:dyDescent="0.2">
      <c r="A118" s="1">
        <v>42248</v>
      </c>
      <c r="B118">
        <v>2.9660000000000002</v>
      </c>
      <c r="C118">
        <v>3.3769999999999998</v>
      </c>
      <c r="D118">
        <v>1.415</v>
      </c>
      <c r="E118">
        <v>3.3919999999999999</v>
      </c>
      <c r="F118">
        <v>237.49799999999999</v>
      </c>
      <c r="G118">
        <v>197.46</v>
      </c>
      <c r="H118">
        <v>248.49199999999999</v>
      </c>
      <c r="I118">
        <v>0.14000000000000001</v>
      </c>
      <c r="J118">
        <v>12386.4</v>
      </c>
      <c r="K118">
        <v>159.19999999999999</v>
      </c>
      <c r="L118">
        <v>151.30000000000001</v>
      </c>
      <c r="M118">
        <v>205.6</v>
      </c>
      <c r="N118">
        <v>13972.2</v>
      </c>
      <c r="O118">
        <v>43585</v>
      </c>
      <c r="P118">
        <v>448090</v>
      </c>
      <c r="Q118">
        <v>5</v>
      </c>
      <c r="R118">
        <v>87.2</v>
      </c>
      <c r="S118">
        <v>2.5049999999999999</v>
      </c>
      <c r="T118">
        <v>2.3652500000000001</v>
      </c>
    </row>
    <row r="119" spans="1:20" x14ac:dyDescent="0.2">
      <c r="A119" s="1">
        <v>42278</v>
      </c>
      <c r="B119">
        <v>2.8079999999999998</v>
      </c>
      <c r="C119">
        <v>3.3559999999999999</v>
      </c>
      <c r="D119">
        <v>1.43</v>
      </c>
      <c r="E119">
        <v>3.3380000000000001</v>
      </c>
      <c r="F119">
        <v>237.733</v>
      </c>
      <c r="G119">
        <v>196.68600000000001</v>
      </c>
      <c r="H119">
        <v>248.755</v>
      </c>
      <c r="I119">
        <v>0.12</v>
      </c>
      <c r="J119">
        <v>12394.9</v>
      </c>
      <c r="K119">
        <v>156.4</v>
      </c>
      <c r="L119">
        <v>152.9</v>
      </c>
      <c r="M119">
        <v>201.1</v>
      </c>
      <c r="N119">
        <v>13996.9</v>
      </c>
      <c r="O119">
        <v>46476</v>
      </c>
      <c r="P119">
        <v>446905</v>
      </c>
      <c r="Q119">
        <v>5</v>
      </c>
      <c r="R119">
        <v>90</v>
      </c>
      <c r="S119">
        <v>2.51925</v>
      </c>
      <c r="T119">
        <v>2.29</v>
      </c>
    </row>
    <row r="120" spans="1:20" x14ac:dyDescent="0.2">
      <c r="A120" s="1">
        <v>42309</v>
      </c>
      <c r="B120">
        <v>2.6640000000000001</v>
      </c>
      <c r="C120">
        <v>3.35</v>
      </c>
      <c r="D120">
        <v>1.484</v>
      </c>
      <c r="E120">
        <v>3.2989999999999999</v>
      </c>
      <c r="F120">
        <v>238.017</v>
      </c>
      <c r="G120">
        <v>195.99600000000001</v>
      </c>
      <c r="H120">
        <v>248.52500000000001</v>
      </c>
      <c r="I120">
        <v>0.12</v>
      </c>
      <c r="J120">
        <v>12423.2</v>
      </c>
      <c r="K120">
        <v>149.5</v>
      </c>
      <c r="L120">
        <v>144.80000000000001</v>
      </c>
      <c r="M120">
        <v>197.7</v>
      </c>
      <c r="N120">
        <v>13993.4</v>
      </c>
      <c r="O120">
        <v>43682</v>
      </c>
      <c r="P120">
        <v>448738</v>
      </c>
      <c r="Q120">
        <v>5.0999999999999996</v>
      </c>
      <c r="R120">
        <v>91.3</v>
      </c>
      <c r="S120">
        <v>2.4670000000000001</v>
      </c>
      <c r="T120">
        <v>2.1579999999999999</v>
      </c>
    </row>
    <row r="121" spans="1:20" x14ac:dyDescent="0.2">
      <c r="A121" s="1">
        <v>42339</v>
      </c>
      <c r="B121">
        <v>2.7509999999999999</v>
      </c>
      <c r="C121">
        <v>3.282</v>
      </c>
      <c r="D121">
        <v>1.4370000000000001</v>
      </c>
      <c r="E121">
        <v>3.31</v>
      </c>
      <c r="F121">
        <v>237.761</v>
      </c>
      <c r="G121">
        <v>194.26599999999999</v>
      </c>
      <c r="H121">
        <v>248.20599999999999</v>
      </c>
      <c r="I121">
        <v>0.24</v>
      </c>
      <c r="J121">
        <v>12452</v>
      </c>
      <c r="K121">
        <v>150.4</v>
      </c>
      <c r="L121">
        <v>146.69999999999999</v>
      </c>
      <c r="M121">
        <v>195.4</v>
      </c>
      <c r="N121">
        <v>14060.2</v>
      </c>
      <c r="O121">
        <v>47966</v>
      </c>
      <c r="P121">
        <v>450598</v>
      </c>
      <c r="Q121">
        <v>5</v>
      </c>
      <c r="R121">
        <v>92.6</v>
      </c>
      <c r="S121">
        <v>2.3094999999999999</v>
      </c>
      <c r="T121">
        <v>2.0375000000000001</v>
      </c>
    </row>
    <row r="122" spans="1:20" x14ac:dyDescent="0.2">
      <c r="A122" s="1">
        <v>42370</v>
      </c>
      <c r="B122">
        <v>2.3279999999999998</v>
      </c>
      <c r="C122">
        <v>3.2509999999999999</v>
      </c>
      <c r="D122">
        <v>1.429</v>
      </c>
      <c r="E122">
        <v>3.3130000000000002</v>
      </c>
      <c r="F122">
        <v>237.65199999999999</v>
      </c>
      <c r="G122">
        <v>193.63</v>
      </c>
      <c r="H122">
        <v>248.35300000000001</v>
      </c>
      <c r="I122">
        <v>0.34</v>
      </c>
      <c r="J122">
        <v>12478</v>
      </c>
      <c r="K122">
        <v>141.5</v>
      </c>
      <c r="L122">
        <v>147.9</v>
      </c>
      <c r="M122">
        <v>193.3</v>
      </c>
      <c r="N122">
        <v>14121.1</v>
      </c>
      <c r="O122">
        <v>44115</v>
      </c>
      <c r="P122">
        <v>447376</v>
      </c>
      <c r="Q122">
        <v>4.8</v>
      </c>
      <c r="R122">
        <v>92</v>
      </c>
      <c r="S122">
        <v>2.1427499999999999</v>
      </c>
      <c r="T122">
        <v>1.9484999999999999</v>
      </c>
    </row>
    <row r="123" spans="1:20" x14ac:dyDescent="0.2">
      <c r="A123" s="1">
        <v>42401</v>
      </c>
      <c r="B123">
        <v>2.2669999999999999</v>
      </c>
      <c r="C123">
        <v>3.302</v>
      </c>
      <c r="D123">
        <v>1.478</v>
      </c>
      <c r="E123">
        <v>3.23</v>
      </c>
      <c r="F123">
        <v>237.33600000000001</v>
      </c>
      <c r="G123">
        <v>193.11799999999999</v>
      </c>
      <c r="H123">
        <v>248.60599999999999</v>
      </c>
      <c r="I123">
        <v>0.38</v>
      </c>
      <c r="J123">
        <v>12554.5</v>
      </c>
      <c r="K123">
        <v>139.30000000000001</v>
      </c>
      <c r="L123">
        <v>145.6</v>
      </c>
      <c r="M123">
        <v>191</v>
      </c>
      <c r="N123">
        <v>14135.3</v>
      </c>
      <c r="O123">
        <v>45179</v>
      </c>
      <c r="P123">
        <v>451898</v>
      </c>
      <c r="Q123">
        <v>4.9000000000000004</v>
      </c>
      <c r="R123">
        <v>91.7</v>
      </c>
      <c r="S123">
        <v>1.9982</v>
      </c>
      <c r="T123">
        <v>1.7636000000000001</v>
      </c>
    </row>
    <row r="124" spans="1:20" x14ac:dyDescent="0.2">
      <c r="A124" s="1">
        <v>42430</v>
      </c>
      <c r="B124">
        <v>2.081</v>
      </c>
      <c r="C124">
        <v>3.2709999999999999</v>
      </c>
      <c r="D124">
        <v>1.4630000000000001</v>
      </c>
      <c r="E124">
        <v>3.1869999999999998</v>
      </c>
      <c r="F124">
        <v>238.08</v>
      </c>
      <c r="G124">
        <v>193.47200000000001</v>
      </c>
      <c r="H124">
        <v>248.029</v>
      </c>
      <c r="I124">
        <v>0.36</v>
      </c>
      <c r="J124">
        <v>12537</v>
      </c>
      <c r="K124">
        <v>138.69999999999999</v>
      </c>
      <c r="L124">
        <v>150</v>
      </c>
      <c r="M124">
        <v>189.8</v>
      </c>
      <c r="N124">
        <v>14135.4</v>
      </c>
      <c r="O124">
        <v>49151</v>
      </c>
      <c r="P124">
        <v>450462</v>
      </c>
      <c r="Q124">
        <v>5</v>
      </c>
      <c r="R124">
        <v>91</v>
      </c>
      <c r="S124">
        <v>2.09</v>
      </c>
      <c r="T124">
        <v>1.96875</v>
      </c>
    </row>
    <row r="125" spans="1:20" x14ac:dyDescent="0.2">
      <c r="A125" s="1">
        <v>42461</v>
      </c>
      <c r="B125">
        <v>1.7929999999999999</v>
      </c>
      <c r="C125">
        <v>3.2509999999999999</v>
      </c>
      <c r="D125">
        <v>1.496</v>
      </c>
      <c r="E125">
        <v>3.1549999999999998</v>
      </c>
      <c r="F125">
        <v>238.99199999999999</v>
      </c>
      <c r="G125">
        <v>193.63200000000001</v>
      </c>
      <c r="H125">
        <v>248.23500000000001</v>
      </c>
      <c r="I125">
        <v>0.37</v>
      </c>
      <c r="J125">
        <v>12611.5</v>
      </c>
      <c r="K125">
        <v>136.6</v>
      </c>
      <c r="L125">
        <v>156.69999999999999</v>
      </c>
      <c r="M125">
        <v>190</v>
      </c>
      <c r="N125">
        <v>14106.2</v>
      </c>
      <c r="O125">
        <v>48963</v>
      </c>
      <c r="P125">
        <v>452238</v>
      </c>
      <c r="Q125">
        <v>5.0999999999999996</v>
      </c>
      <c r="R125">
        <v>89</v>
      </c>
      <c r="S125">
        <v>2.1515</v>
      </c>
      <c r="T125">
        <v>2.1127500000000001</v>
      </c>
    </row>
    <row r="126" spans="1:20" x14ac:dyDescent="0.2">
      <c r="A126" s="1">
        <v>42491</v>
      </c>
      <c r="B126">
        <v>1.6839999999999999</v>
      </c>
      <c r="C126">
        <v>3.25</v>
      </c>
      <c r="D126">
        <v>1.4890000000000001</v>
      </c>
      <c r="E126">
        <v>3.157</v>
      </c>
      <c r="F126">
        <v>239.55699999999999</v>
      </c>
      <c r="G126">
        <v>194.328</v>
      </c>
      <c r="H126">
        <v>247.85599999999999</v>
      </c>
      <c r="I126">
        <v>0.37</v>
      </c>
      <c r="J126">
        <v>12652.7</v>
      </c>
      <c r="K126">
        <v>139.4</v>
      </c>
      <c r="L126">
        <v>180.2</v>
      </c>
      <c r="M126">
        <v>193.1</v>
      </c>
      <c r="N126">
        <v>14095.5</v>
      </c>
      <c r="O126">
        <v>49712</v>
      </c>
      <c r="P126">
        <v>453898</v>
      </c>
      <c r="Q126">
        <v>4.8</v>
      </c>
      <c r="R126">
        <v>94.7</v>
      </c>
      <c r="S126">
        <v>2.3146</v>
      </c>
      <c r="T126">
        <v>2.2682000000000002</v>
      </c>
    </row>
    <row r="127" spans="1:20" x14ac:dyDescent="0.2">
      <c r="A127" s="1">
        <v>42522</v>
      </c>
      <c r="B127">
        <v>1.4910000000000001</v>
      </c>
      <c r="C127">
        <v>3.2280000000000002</v>
      </c>
      <c r="D127">
        <v>1.4079999999999999</v>
      </c>
      <c r="E127">
        <v>3.1150000000000002</v>
      </c>
      <c r="F127">
        <v>240.22200000000001</v>
      </c>
      <c r="G127">
        <v>194.52099999999999</v>
      </c>
      <c r="H127">
        <v>247.68299999999999</v>
      </c>
      <c r="I127">
        <v>0.38</v>
      </c>
      <c r="J127">
        <v>12731.2</v>
      </c>
      <c r="K127">
        <v>159.69999999999999</v>
      </c>
      <c r="L127">
        <v>195.7</v>
      </c>
      <c r="M127">
        <v>202.2</v>
      </c>
      <c r="N127">
        <v>14104.9</v>
      </c>
      <c r="O127">
        <v>47906</v>
      </c>
      <c r="P127">
        <v>458711</v>
      </c>
      <c r="Q127">
        <v>4.9000000000000004</v>
      </c>
      <c r="R127">
        <v>93.5</v>
      </c>
      <c r="S127">
        <v>2.4224999999999999</v>
      </c>
      <c r="T127">
        <v>2.3654999999999999</v>
      </c>
    </row>
    <row r="128" spans="1:20" x14ac:dyDescent="0.2">
      <c r="A128" s="1">
        <v>42552</v>
      </c>
      <c r="B128">
        <v>1.546</v>
      </c>
      <c r="C128">
        <v>3.21</v>
      </c>
      <c r="D128">
        <v>1.4450000000000001</v>
      </c>
      <c r="E128">
        <v>3.0619999999999998</v>
      </c>
      <c r="F128">
        <v>240.101</v>
      </c>
      <c r="G128">
        <v>196.697</v>
      </c>
      <c r="H128">
        <v>247.65799999999999</v>
      </c>
      <c r="I128">
        <v>0.39</v>
      </c>
      <c r="J128">
        <v>12756.7</v>
      </c>
      <c r="K128">
        <v>131.1</v>
      </c>
      <c r="L128">
        <v>186</v>
      </c>
      <c r="M128">
        <v>206.3</v>
      </c>
      <c r="N128">
        <v>14160.1</v>
      </c>
      <c r="O128">
        <v>49407</v>
      </c>
      <c r="P128">
        <v>457894</v>
      </c>
      <c r="Q128">
        <v>4.8</v>
      </c>
      <c r="R128">
        <v>90</v>
      </c>
      <c r="S128">
        <v>2.4045000000000001</v>
      </c>
      <c r="T128">
        <v>2.2389999999999999</v>
      </c>
    </row>
    <row r="129" spans="1:20" x14ac:dyDescent="0.2">
      <c r="A129" s="1">
        <v>42583</v>
      </c>
      <c r="B129">
        <v>1.4550000000000001</v>
      </c>
      <c r="C129">
        <v>3.218</v>
      </c>
      <c r="D129">
        <v>1.4259999999999999</v>
      </c>
      <c r="E129">
        <v>3.141</v>
      </c>
      <c r="F129">
        <v>240.54499999999999</v>
      </c>
      <c r="G129">
        <v>197.78800000000001</v>
      </c>
      <c r="H129">
        <v>247.74600000000001</v>
      </c>
      <c r="I129">
        <v>0.4</v>
      </c>
      <c r="J129">
        <v>12788.1</v>
      </c>
      <c r="K129">
        <v>129.9</v>
      </c>
      <c r="L129">
        <v>170.2</v>
      </c>
      <c r="M129">
        <v>204.5</v>
      </c>
      <c r="N129">
        <v>14176.7</v>
      </c>
      <c r="O129">
        <v>48499</v>
      </c>
      <c r="P129">
        <v>458375</v>
      </c>
      <c r="Q129">
        <v>4.9000000000000004</v>
      </c>
      <c r="R129">
        <v>89.8</v>
      </c>
      <c r="S129">
        <v>2.3506</v>
      </c>
      <c r="T129">
        <v>2.1776</v>
      </c>
    </row>
    <row r="130" spans="1:20" x14ac:dyDescent="0.2">
      <c r="A130" s="1">
        <v>42614</v>
      </c>
      <c r="B130">
        <v>1.4710000000000001</v>
      </c>
      <c r="C130">
        <v>3.2440000000000002</v>
      </c>
      <c r="D130">
        <v>1.4870000000000001</v>
      </c>
      <c r="E130">
        <v>3.2290000000000001</v>
      </c>
      <c r="F130">
        <v>241.17599999999999</v>
      </c>
      <c r="G130">
        <v>199.18299999999999</v>
      </c>
      <c r="H130">
        <v>247.77199999999999</v>
      </c>
      <c r="I130">
        <v>0.4</v>
      </c>
      <c r="J130">
        <v>12846.6</v>
      </c>
      <c r="K130">
        <v>130.69999999999999</v>
      </c>
      <c r="L130">
        <v>161.4</v>
      </c>
      <c r="M130">
        <v>198.5</v>
      </c>
      <c r="N130">
        <v>14209.1</v>
      </c>
      <c r="O130">
        <v>46245</v>
      </c>
      <c r="P130">
        <v>461400</v>
      </c>
      <c r="Q130">
        <v>5</v>
      </c>
      <c r="R130">
        <v>91.2</v>
      </c>
      <c r="S130">
        <v>2.39425</v>
      </c>
      <c r="T130">
        <v>2.2185000000000001</v>
      </c>
    </row>
    <row r="131" spans="1:20" x14ac:dyDescent="0.2">
      <c r="A131" s="1">
        <v>42644</v>
      </c>
      <c r="B131">
        <v>1.39</v>
      </c>
      <c r="C131">
        <v>3.3050000000000002</v>
      </c>
      <c r="D131">
        <v>1.502</v>
      </c>
      <c r="E131">
        <v>3.2919999999999998</v>
      </c>
      <c r="F131">
        <v>241.74100000000001</v>
      </c>
      <c r="G131">
        <v>199.16399999999999</v>
      </c>
      <c r="H131">
        <v>247.81200000000001</v>
      </c>
      <c r="I131">
        <v>0.4</v>
      </c>
      <c r="J131">
        <v>12867</v>
      </c>
      <c r="K131">
        <v>132.6</v>
      </c>
      <c r="L131">
        <v>158</v>
      </c>
      <c r="M131">
        <v>193.1</v>
      </c>
      <c r="N131">
        <v>14235.4</v>
      </c>
      <c r="O131">
        <v>47842</v>
      </c>
      <c r="P131">
        <v>462362</v>
      </c>
      <c r="Q131">
        <v>4.9000000000000004</v>
      </c>
      <c r="R131">
        <v>87.2</v>
      </c>
      <c r="S131">
        <v>2.4544000000000001</v>
      </c>
      <c r="T131">
        <v>2.2494000000000001</v>
      </c>
    </row>
    <row r="132" spans="1:20" x14ac:dyDescent="0.2">
      <c r="A132" s="1">
        <v>42675</v>
      </c>
      <c r="B132">
        <v>1.321</v>
      </c>
      <c r="C132">
        <v>3.2629999999999999</v>
      </c>
      <c r="D132">
        <v>1.478</v>
      </c>
      <c r="E132">
        <v>3.28</v>
      </c>
      <c r="F132">
        <v>242.02600000000001</v>
      </c>
      <c r="G132">
        <v>198.70599999999999</v>
      </c>
      <c r="H132">
        <v>247.74100000000001</v>
      </c>
      <c r="I132">
        <v>0.41</v>
      </c>
      <c r="J132">
        <v>12893</v>
      </c>
      <c r="K132">
        <v>135.19999999999999</v>
      </c>
      <c r="L132">
        <v>163.4</v>
      </c>
      <c r="M132">
        <v>190.1</v>
      </c>
      <c r="N132">
        <v>14273.6</v>
      </c>
      <c r="O132">
        <v>46138</v>
      </c>
      <c r="P132">
        <v>462231</v>
      </c>
      <c r="Q132">
        <v>4.7</v>
      </c>
      <c r="R132">
        <v>93.8</v>
      </c>
      <c r="S132">
        <v>2.4384999999999999</v>
      </c>
      <c r="T132">
        <v>2.1815000000000002</v>
      </c>
    </row>
    <row r="133" spans="1:20" x14ac:dyDescent="0.2">
      <c r="A133" s="1">
        <v>42705</v>
      </c>
      <c r="B133">
        <v>1.383</v>
      </c>
      <c r="C133">
        <v>3.2</v>
      </c>
      <c r="D133">
        <v>1.4630000000000001</v>
      </c>
      <c r="E133">
        <v>3.29</v>
      </c>
      <c r="F133">
        <v>242.637</v>
      </c>
      <c r="G133">
        <v>198.37299999999999</v>
      </c>
      <c r="H133">
        <v>247.72499999999999</v>
      </c>
      <c r="I133">
        <v>0.54</v>
      </c>
      <c r="J133">
        <v>13005.9</v>
      </c>
      <c r="K133">
        <v>135.5</v>
      </c>
      <c r="L133">
        <v>170.8</v>
      </c>
      <c r="M133">
        <v>188.4</v>
      </c>
      <c r="N133">
        <v>14313.7</v>
      </c>
      <c r="O133">
        <v>50168</v>
      </c>
      <c r="P133">
        <v>467852</v>
      </c>
      <c r="Q133">
        <v>4.7</v>
      </c>
      <c r="R133">
        <v>98.2</v>
      </c>
      <c r="S133">
        <v>2.5099999999999998</v>
      </c>
      <c r="T133">
        <v>2.2542499999999999</v>
      </c>
    </row>
    <row r="134" spans="1:20" x14ac:dyDescent="0.2">
      <c r="A134" s="1">
        <v>42736</v>
      </c>
      <c r="B134">
        <v>1.599</v>
      </c>
      <c r="C134">
        <v>3.218</v>
      </c>
      <c r="D134">
        <v>1.4179999999999999</v>
      </c>
      <c r="E134">
        <v>3.3180000000000001</v>
      </c>
      <c r="F134">
        <v>243.61799999999999</v>
      </c>
      <c r="G134">
        <v>199.114</v>
      </c>
      <c r="H134">
        <v>248.065</v>
      </c>
      <c r="I134">
        <v>0.65</v>
      </c>
      <c r="J134">
        <v>13063.7</v>
      </c>
      <c r="K134">
        <v>137.4</v>
      </c>
      <c r="L134">
        <v>168.4</v>
      </c>
      <c r="M134">
        <v>188.1</v>
      </c>
      <c r="N134">
        <v>14373.7</v>
      </c>
      <c r="O134">
        <v>46469</v>
      </c>
      <c r="P134">
        <v>473019</v>
      </c>
      <c r="Q134">
        <v>4.7</v>
      </c>
      <c r="R134">
        <v>98.5</v>
      </c>
      <c r="S134">
        <v>2.5798000000000001</v>
      </c>
      <c r="T134">
        <v>2.3490000000000002</v>
      </c>
    </row>
    <row r="135" spans="1:20" x14ac:dyDescent="0.2">
      <c r="A135" s="1">
        <v>42767</v>
      </c>
      <c r="B135">
        <v>1.464</v>
      </c>
      <c r="C135">
        <v>3.1949999999999998</v>
      </c>
      <c r="D135">
        <v>1.4730000000000001</v>
      </c>
      <c r="E135">
        <v>3.3</v>
      </c>
      <c r="F135">
        <v>244.006</v>
      </c>
      <c r="G135">
        <v>200.29300000000001</v>
      </c>
      <c r="H135">
        <v>248.73500000000001</v>
      </c>
      <c r="I135">
        <v>0.66</v>
      </c>
      <c r="J135">
        <v>13088.4</v>
      </c>
      <c r="K135">
        <v>138.19999999999999</v>
      </c>
      <c r="L135">
        <v>173.1</v>
      </c>
      <c r="M135">
        <v>190.8</v>
      </c>
      <c r="N135">
        <v>14416.8</v>
      </c>
      <c r="O135">
        <v>45935</v>
      </c>
      <c r="P135">
        <v>472945</v>
      </c>
      <c r="Q135">
        <v>4.5999999999999996</v>
      </c>
      <c r="R135">
        <v>96.3</v>
      </c>
      <c r="S135">
        <v>2.5680000000000001</v>
      </c>
      <c r="T135">
        <v>2.3039999999999998</v>
      </c>
    </row>
    <row r="136" spans="1:20" x14ac:dyDescent="0.2">
      <c r="A136" s="1">
        <v>42795</v>
      </c>
      <c r="B136">
        <v>1.4039999999999999</v>
      </c>
      <c r="C136">
        <v>3.2909999999999999</v>
      </c>
      <c r="D136">
        <v>1.462</v>
      </c>
      <c r="E136">
        <v>3.3149999999999999</v>
      </c>
      <c r="F136">
        <v>243.892</v>
      </c>
      <c r="G136">
        <v>199.95</v>
      </c>
      <c r="H136">
        <v>249.244</v>
      </c>
      <c r="I136">
        <v>0.79</v>
      </c>
      <c r="J136">
        <v>13139.9</v>
      </c>
      <c r="K136">
        <v>135.1</v>
      </c>
      <c r="L136">
        <v>164.5</v>
      </c>
      <c r="M136">
        <v>191.9</v>
      </c>
      <c r="N136">
        <v>14476.3</v>
      </c>
      <c r="O136">
        <v>52500</v>
      </c>
      <c r="P136">
        <v>472149</v>
      </c>
      <c r="Q136">
        <v>4.4000000000000004</v>
      </c>
      <c r="R136">
        <v>96.9</v>
      </c>
      <c r="S136">
        <v>2.5535000000000001</v>
      </c>
      <c r="T136">
        <v>2.3250000000000002</v>
      </c>
    </row>
    <row r="137" spans="1:20" x14ac:dyDescent="0.2">
      <c r="A137" s="1">
        <v>42826</v>
      </c>
      <c r="B137">
        <v>1.409</v>
      </c>
      <c r="C137">
        <v>3.2890000000000001</v>
      </c>
      <c r="D137">
        <v>1.444</v>
      </c>
      <c r="E137">
        <v>3.2589999999999999</v>
      </c>
      <c r="F137">
        <v>244.19300000000001</v>
      </c>
      <c r="G137">
        <v>201.99700000000001</v>
      </c>
      <c r="H137">
        <v>249.589</v>
      </c>
      <c r="I137">
        <v>0.9</v>
      </c>
      <c r="J137">
        <v>13169.2</v>
      </c>
      <c r="K137">
        <v>133.1</v>
      </c>
      <c r="L137">
        <v>154.80000000000001</v>
      </c>
      <c r="M137">
        <v>191.7</v>
      </c>
      <c r="N137">
        <v>14509.3</v>
      </c>
      <c r="O137">
        <v>50879</v>
      </c>
      <c r="P137">
        <v>473986</v>
      </c>
      <c r="Q137">
        <v>4.4000000000000004</v>
      </c>
      <c r="R137">
        <v>97</v>
      </c>
      <c r="S137">
        <v>2.5825</v>
      </c>
      <c r="T137">
        <v>2.4172500000000001</v>
      </c>
    </row>
    <row r="138" spans="1:20" x14ac:dyDescent="0.2">
      <c r="A138" s="1">
        <v>42856</v>
      </c>
      <c r="B138">
        <v>1.4139999999999999</v>
      </c>
      <c r="C138">
        <v>3.2080000000000002</v>
      </c>
      <c r="D138">
        <v>1.4990000000000001</v>
      </c>
      <c r="E138">
        <v>3.242</v>
      </c>
      <c r="F138">
        <v>244.00399999999999</v>
      </c>
      <c r="G138">
        <v>203.43</v>
      </c>
      <c r="H138">
        <v>249.97200000000001</v>
      </c>
      <c r="I138">
        <v>0.91</v>
      </c>
      <c r="J138">
        <v>13171.9</v>
      </c>
      <c r="K138">
        <v>133</v>
      </c>
      <c r="L138">
        <v>161.30000000000001</v>
      </c>
      <c r="M138">
        <v>189.9</v>
      </c>
      <c r="N138">
        <v>14610.7</v>
      </c>
      <c r="O138">
        <v>52483</v>
      </c>
      <c r="P138">
        <v>471630</v>
      </c>
      <c r="Q138">
        <v>4.4000000000000004</v>
      </c>
      <c r="R138">
        <v>97.1</v>
      </c>
      <c r="S138">
        <v>2.5604</v>
      </c>
      <c r="T138">
        <v>2.3914</v>
      </c>
    </row>
    <row r="139" spans="1:20" x14ac:dyDescent="0.2">
      <c r="A139" s="1">
        <v>42887</v>
      </c>
      <c r="B139">
        <v>1.3320000000000001</v>
      </c>
      <c r="C139">
        <v>3.2149999999999999</v>
      </c>
      <c r="D139">
        <v>1.4970000000000001</v>
      </c>
      <c r="E139">
        <v>3.2130000000000001</v>
      </c>
      <c r="F139">
        <v>244.16300000000001</v>
      </c>
      <c r="G139">
        <v>204.17099999999999</v>
      </c>
      <c r="H139">
        <v>249.77</v>
      </c>
      <c r="I139">
        <v>1.04</v>
      </c>
      <c r="J139">
        <v>13225.2</v>
      </c>
      <c r="K139">
        <v>137</v>
      </c>
      <c r="L139">
        <v>155.4</v>
      </c>
      <c r="M139">
        <v>189</v>
      </c>
      <c r="N139">
        <v>14618.7</v>
      </c>
      <c r="O139">
        <v>51654</v>
      </c>
      <c r="P139">
        <v>473546</v>
      </c>
      <c r="Q139">
        <v>4.3</v>
      </c>
      <c r="R139">
        <v>95</v>
      </c>
      <c r="S139">
        <v>2.5105</v>
      </c>
      <c r="T139">
        <v>2.3464999999999998</v>
      </c>
    </row>
    <row r="140" spans="1:20" x14ac:dyDescent="0.2">
      <c r="A140" s="1">
        <v>42917</v>
      </c>
      <c r="B140">
        <v>1.333</v>
      </c>
      <c r="C140">
        <v>3.1890000000000001</v>
      </c>
      <c r="D140">
        <v>1.496</v>
      </c>
      <c r="E140">
        <v>3.2189999999999999</v>
      </c>
      <c r="F140">
        <v>244.24299999999999</v>
      </c>
      <c r="G140">
        <v>204.33799999999999</v>
      </c>
      <c r="H140">
        <v>250.185</v>
      </c>
      <c r="I140">
        <v>1.1499999999999999</v>
      </c>
      <c r="J140">
        <v>13263.3</v>
      </c>
      <c r="K140">
        <v>147.1</v>
      </c>
      <c r="L140">
        <v>171.9</v>
      </c>
      <c r="M140">
        <v>188.1</v>
      </c>
      <c r="N140">
        <v>14660.2</v>
      </c>
      <c r="O140">
        <v>51813</v>
      </c>
      <c r="P140">
        <v>473552</v>
      </c>
      <c r="Q140">
        <v>4.3</v>
      </c>
      <c r="R140">
        <v>93.4</v>
      </c>
      <c r="S140">
        <v>2.4964</v>
      </c>
      <c r="T140">
        <v>2.2997999999999998</v>
      </c>
    </row>
    <row r="141" spans="1:20" x14ac:dyDescent="0.2">
      <c r="A141" s="1">
        <v>42948</v>
      </c>
      <c r="B141">
        <v>1.367</v>
      </c>
      <c r="C141">
        <v>3.194</v>
      </c>
      <c r="D141">
        <v>1.4890000000000001</v>
      </c>
      <c r="E141">
        <v>3.1680000000000001</v>
      </c>
      <c r="F141">
        <v>245.18299999999999</v>
      </c>
      <c r="G141">
        <v>204.06700000000001</v>
      </c>
      <c r="H141">
        <v>250.46899999999999</v>
      </c>
      <c r="I141">
        <v>1.1599999999999999</v>
      </c>
      <c r="J141">
        <v>13294.6</v>
      </c>
      <c r="K141">
        <v>138.9</v>
      </c>
      <c r="L141">
        <v>153.69999999999999</v>
      </c>
      <c r="M141">
        <v>187.9</v>
      </c>
      <c r="N141">
        <v>14678.3</v>
      </c>
      <c r="O141">
        <v>51573</v>
      </c>
      <c r="P141">
        <v>474449</v>
      </c>
      <c r="Q141">
        <v>4.4000000000000004</v>
      </c>
      <c r="R141">
        <v>96.8</v>
      </c>
      <c r="S141">
        <v>2.5950000000000002</v>
      </c>
      <c r="T141">
        <v>2.3802500000000002</v>
      </c>
    </row>
    <row r="142" spans="1:20" x14ac:dyDescent="0.2">
      <c r="A142" s="1">
        <v>42979</v>
      </c>
      <c r="B142">
        <v>1.4219999999999999</v>
      </c>
      <c r="C142">
        <v>3.1850000000000001</v>
      </c>
      <c r="D142">
        <v>1.48</v>
      </c>
      <c r="E142">
        <v>3.2090000000000001</v>
      </c>
      <c r="F142">
        <v>246.435</v>
      </c>
      <c r="G142">
        <v>203.857</v>
      </c>
      <c r="H142">
        <v>250.82599999999999</v>
      </c>
      <c r="I142">
        <v>1.1499999999999999</v>
      </c>
      <c r="J142">
        <v>13417.3</v>
      </c>
      <c r="K142">
        <v>138.9</v>
      </c>
      <c r="L142">
        <v>157.69999999999999</v>
      </c>
      <c r="M142">
        <v>186.8</v>
      </c>
      <c r="N142">
        <v>14706</v>
      </c>
      <c r="O142">
        <v>49037</v>
      </c>
      <c r="P142">
        <v>484163</v>
      </c>
      <c r="Q142">
        <v>4.3</v>
      </c>
      <c r="R142">
        <v>95.1</v>
      </c>
      <c r="S142">
        <v>2.7847499999999998</v>
      </c>
      <c r="T142">
        <v>2.6452499999999999</v>
      </c>
    </row>
    <row r="143" spans="1:20" x14ac:dyDescent="0.2">
      <c r="A143" s="1">
        <v>43009</v>
      </c>
      <c r="B143">
        <v>1.54</v>
      </c>
      <c r="C143">
        <v>3.141</v>
      </c>
      <c r="D143">
        <v>1.484</v>
      </c>
      <c r="E143">
        <v>3.1579999999999999</v>
      </c>
      <c r="F143">
        <v>246.626</v>
      </c>
      <c r="G143">
        <v>203.244</v>
      </c>
      <c r="H143">
        <v>251.048</v>
      </c>
      <c r="I143">
        <v>1.1499999999999999</v>
      </c>
      <c r="J143">
        <v>13447.5</v>
      </c>
      <c r="K143">
        <v>135.1</v>
      </c>
      <c r="L143">
        <v>158.19999999999999</v>
      </c>
      <c r="M143">
        <v>187.4</v>
      </c>
      <c r="N143">
        <v>14748.6</v>
      </c>
      <c r="O143">
        <v>49998</v>
      </c>
      <c r="P143">
        <v>484848</v>
      </c>
      <c r="Q143">
        <v>4.2</v>
      </c>
      <c r="R143">
        <v>100.7</v>
      </c>
      <c r="S143">
        <v>2.7942</v>
      </c>
      <c r="T143">
        <v>2.5049999999999999</v>
      </c>
    </row>
    <row r="144" spans="1:20" x14ac:dyDescent="0.2">
      <c r="A144" s="1">
        <v>43040</v>
      </c>
      <c r="B144">
        <v>1.506</v>
      </c>
      <c r="C144">
        <v>3.13</v>
      </c>
      <c r="D144">
        <v>1.4510000000000001</v>
      </c>
      <c r="E144">
        <v>3.15</v>
      </c>
      <c r="F144">
        <v>247.28399999999999</v>
      </c>
      <c r="G144">
        <v>203.55600000000001</v>
      </c>
      <c r="H144">
        <v>251.19499999999999</v>
      </c>
      <c r="I144">
        <v>1.1599999999999999</v>
      </c>
      <c r="J144">
        <v>13540.6</v>
      </c>
      <c r="K144">
        <v>131.30000000000001</v>
      </c>
      <c r="L144">
        <v>159.9</v>
      </c>
      <c r="M144">
        <v>187.3</v>
      </c>
      <c r="N144">
        <v>14771.1</v>
      </c>
      <c r="O144">
        <v>48140</v>
      </c>
      <c r="P144">
        <v>490013</v>
      </c>
      <c r="Q144">
        <v>4.2</v>
      </c>
      <c r="R144">
        <v>98.5</v>
      </c>
      <c r="S144">
        <v>2.9087499999999999</v>
      </c>
      <c r="T144">
        <v>2.5634999999999999</v>
      </c>
    </row>
    <row r="145" spans="1:20" x14ac:dyDescent="0.2">
      <c r="A145" s="1">
        <v>43070</v>
      </c>
      <c r="B145">
        <v>1.8149999999999999</v>
      </c>
      <c r="C145">
        <v>3.1920000000000002</v>
      </c>
      <c r="D145">
        <v>1.47</v>
      </c>
      <c r="E145">
        <v>3.1549999999999998</v>
      </c>
      <c r="F145">
        <v>247.80500000000001</v>
      </c>
      <c r="G145">
        <v>204.239</v>
      </c>
      <c r="H145">
        <v>251.71600000000001</v>
      </c>
      <c r="I145">
        <v>1.3</v>
      </c>
      <c r="J145">
        <v>13666.1</v>
      </c>
      <c r="K145">
        <v>129</v>
      </c>
      <c r="L145">
        <v>161.9</v>
      </c>
      <c r="M145">
        <v>188.7</v>
      </c>
      <c r="N145">
        <v>14797.9</v>
      </c>
      <c r="O145">
        <v>53647</v>
      </c>
      <c r="P145">
        <v>492579</v>
      </c>
      <c r="Q145">
        <v>4.0999999999999996</v>
      </c>
      <c r="R145">
        <v>95.9</v>
      </c>
      <c r="S145">
        <v>2.9089999999999998</v>
      </c>
      <c r="T145">
        <v>2.47675</v>
      </c>
    </row>
    <row r="146" spans="1:20" x14ac:dyDescent="0.2">
      <c r="A146" s="1">
        <v>43101</v>
      </c>
      <c r="B146">
        <v>1.7689999999999999</v>
      </c>
      <c r="C146">
        <v>3.073</v>
      </c>
      <c r="D146">
        <v>1.5089999999999999</v>
      </c>
      <c r="E146">
        <v>2.9609999999999999</v>
      </c>
      <c r="F146">
        <v>248.85900000000001</v>
      </c>
      <c r="G146">
        <v>203.096</v>
      </c>
      <c r="H146">
        <v>252.37700000000001</v>
      </c>
      <c r="I146">
        <v>1.41</v>
      </c>
      <c r="J146">
        <v>13703.3</v>
      </c>
      <c r="K146">
        <v>133.4</v>
      </c>
      <c r="L146">
        <v>159.69999999999999</v>
      </c>
      <c r="M146">
        <v>190.6</v>
      </c>
      <c r="N146">
        <v>14886.6</v>
      </c>
      <c r="O146">
        <v>47861</v>
      </c>
      <c r="P146">
        <v>490426</v>
      </c>
      <c r="Q146">
        <v>4</v>
      </c>
      <c r="R146">
        <v>95.7</v>
      </c>
      <c r="S146">
        <v>3.0184000000000002</v>
      </c>
      <c r="T146">
        <v>2.5546000000000002</v>
      </c>
    </row>
    <row r="147" spans="1:20" x14ac:dyDescent="0.2">
      <c r="A147" s="1">
        <v>43132</v>
      </c>
      <c r="B147">
        <v>1.7549999999999999</v>
      </c>
      <c r="C147">
        <v>3.1190000000000002</v>
      </c>
      <c r="D147">
        <v>1.478</v>
      </c>
      <c r="E147">
        <v>2.923</v>
      </c>
      <c r="F147">
        <v>249.529</v>
      </c>
      <c r="G147">
        <v>205.62899999999999</v>
      </c>
      <c r="H147">
        <v>252.26400000000001</v>
      </c>
      <c r="I147">
        <v>1.42</v>
      </c>
      <c r="J147">
        <v>13738.7</v>
      </c>
      <c r="K147">
        <v>136.6</v>
      </c>
      <c r="L147">
        <v>168.5</v>
      </c>
      <c r="M147">
        <v>193.6</v>
      </c>
      <c r="N147">
        <v>14921.1</v>
      </c>
      <c r="O147">
        <v>47608</v>
      </c>
      <c r="P147">
        <v>493334</v>
      </c>
      <c r="Q147">
        <v>4.0999999999999996</v>
      </c>
      <c r="R147">
        <v>99.7</v>
      </c>
      <c r="S147">
        <v>3.04575</v>
      </c>
      <c r="T147">
        <v>2.58725</v>
      </c>
    </row>
    <row r="148" spans="1:20" x14ac:dyDescent="0.2">
      <c r="A148" s="1">
        <v>43160</v>
      </c>
      <c r="B148">
        <v>1.831</v>
      </c>
      <c r="C148">
        <v>3.1419999999999999</v>
      </c>
      <c r="D148">
        <v>1.502</v>
      </c>
      <c r="E148">
        <v>2.903</v>
      </c>
      <c r="F148">
        <v>249.577</v>
      </c>
      <c r="G148">
        <v>205.143</v>
      </c>
      <c r="H148">
        <v>252.36500000000001</v>
      </c>
      <c r="I148">
        <v>1.51</v>
      </c>
      <c r="J148">
        <v>13793.2</v>
      </c>
      <c r="K148">
        <v>143.19999999999999</v>
      </c>
      <c r="L148">
        <v>172.9</v>
      </c>
      <c r="M148">
        <v>197</v>
      </c>
      <c r="N148">
        <v>14974.8</v>
      </c>
      <c r="O148">
        <v>55373</v>
      </c>
      <c r="P148">
        <v>493022</v>
      </c>
      <c r="Q148">
        <v>4</v>
      </c>
      <c r="R148">
        <v>101.4</v>
      </c>
      <c r="S148">
        <v>2.9874999999999998</v>
      </c>
      <c r="T148">
        <v>2.5912500000000001</v>
      </c>
    </row>
    <row r="149" spans="1:20" x14ac:dyDescent="0.2">
      <c r="A149" s="1">
        <v>43191</v>
      </c>
      <c r="B149">
        <v>2.081</v>
      </c>
      <c r="C149">
        <v>3.238</v>
      </c>
      <c r="D149">
        <v>1.5109999999999999</v>
      </c>
      <c r="E149">
        <v>2.9239999999999999</v>
      </c>
      <c r="F149">
        <v>250.227</v>
      </c>
      <c r="G149">
        <v>204.32</v>
      </c>
      <c r="H149">
        <v>252.86699999999999</v>
      </c>
      <c r="I149">
        <v>1.69</v>
      </c>
      <c r="J149">
        <v>13838.4</v>
      </c>
      <c r="K149">
        <v>141.30000000000001</v>
      </c>
      <c r="L149">
        <v>174.8</v>
      </c>
      <c r="M149">
        <v>200.2</v>
      </c>
      <c r="N149">
        <v>15007.2</v>
      </c>
      <c r="O149">
        <v>52256</v>
      </c>
      <c r="P149">
        <v>494498</v>
      </c>
      <c r="Q149">
        <v>4</v>
      </c>
      <c r="R149">
        <v>98.8</v>
      </c>
      <c r="S149">
        <v>3.0958000000000001</v>
      </c>
      <c r="T149">
        <v>2.7570000000000001</v>
      </c>
    </row>
    <row r="150" spans="1:20" x14ac:dyDescent="0.2">
      <c r="A150" s="1">
        <v>43221</v>
      </c>
      <c r="B150">
        <v>1.9870000000000001</v>
      </c>
      <c r="C150">
        <v>3.0760000000000001</v>
      </c>
      <c r="D150">
        <v>1.5229999999999999</v>
      </c>
      <c r="E150">
        <v>2.919</v>
      </c>
      <c r="F150">
        <v>250.792</v>
      </c>
      <c r="G150">
        <v>204.49100000000001</v>
      </c>
      <c r="H150">
        <v>252.864</v>
      </c>
      <c r="I150">
        <v>1.7</v>
      </c>
      <c r="J150">
        <v>13905</v>
      </c>
      <c r="K150">
        <v>144.80000000000001</v>
      </c>
      <c r="L150">
        <v>169.5</v>
      </c>
      <c r="M150">
        <v>203.9</v>
      </c>
      <c r="N150">
        <v>15057.8</v>
      </c>
      <c r="O150">
        <v>55979</v>
      </c>
      <c r="P150">
        <v>500930</v>
      </c>
      <c r="Q150">
        <v>3.8</v>
      </c>
      <c r="R150">
        <v>98</v>
      </c>
      <c r="S150">
        <v>3.2437499999999999</v>
      </c>
      <c r="T150">
        <v>2.9007499999999999</v>
      </c>
    </row>
    <row r="151" spans="1:20" x14ac:dyDescent="0.2">
      <c r="A151" s="1">
        <v>43252</v>
      </c>
      <c r="B151">
        <v>1.6279999999999999</v>
      </c>
      <c r="C151">
        <v>3.0939999999999999</v>
      </c>
      <c r="D151">
        <v>1.514</v>
      </c>
      <c r="E151">
        <v>2.8769999999999998</v>
      </c>
      <c r="F151">
        <v>251.018</v>
      </c>
      <c r="G151">
        <v>203.35300000000001</v>
      </c>
      <c r="H151">
        <v>253.167</v>
      </c>
      <c r="I151">
        <v>1.82</v>
      </c>
      <c r="J151">
        <v>13930.4</v>
      </c>
      <c r="K151">
        <v>138.9</v>
      </c>
      <c r="L151">
        <v>159</v>
      </c>
      <c r="M151">
        <v>205.9</v>
      </c>
      <c r="N151">
        <v>15119.3</v>
      </c>
      <c r="O151">
        <v>56133</v>
      </c>
      <c r="P151">
        <v>499218</v>
      </c>
      <c r="Q151">
        <v>4</v>
      </c>
      <c r="R151">
        <v>98.2</v>
      </c>
      <c r="S151">
        <v>3.2527499999999998</v>
      </c>
      <c r="T151">
        <v>2.8907500000000002</v>
      </c>
    </row>
    <row r="152" spans="1:20" x14ac:dyDescent="0.2">
      <c r="A152" s="1">
        <v>43282</v>
      </c>
      <c r="B152">
        <v>1.7250000000000001</v>
      </c>
      <c r="C152">
        <v>3.1160000000000001</v>
      </c>
      <c r="D152">
        <v>1.5189999999999999</v>
      </c>
      <c r="E152">
        <v>2.839</v>
      </c>
      <c r="F152">
        <v>251.214</v>
      </c>
      <c r="G152">
        <v>202.745</v>
      </c>
      <c r="H152">
        <v>253.59800000000001</v>
      </c>
      <c r="I152">
        <v>1.91</v>
      </c>
      <c r="J152">
        <v>13974.8</v>
      </c>
      <c r="K152">
        <v>130.80000000000001</v>
      </c>
      <c r="L152">
        <v>143.30000000000001</v>
      </c>
      <c r="M152">
        <v>204.1</v>
      </c>
      <c r="N152">
        <v>15184.7</v>
      </c>
      <c r="O152">
        <v>56410</v>
      </c>
      <c r="P152">
        <v>502255</v>
      </c>
      <c r="Q152">
        <v>3.8</v>
      </c>
      <c r="R152">
        <v>97.9</v>
      </c>
      <c r="S152">
        <v>3.2328000000000001</v>
      </c>
      <c r="T152">
        <v>2.8485999999999998</v>
      </c>
    </row>
    <row r="153" spans="1:20" x14ac:dyDescent="0.2">
      <c r="A153" s="1">
        <v>43313</v>
      </c>
      <c r="B153">
        <v>1.6220000000000001</v>
      </c>
      <c r="C153">
        <v>2.9390000000000001</v>
      </c>
      <c r="D153">
        <v>1.5109999999999999</v>
      </c>
      <c r="E153">
        <v>2.871</v>
      </c>
      <c r="F153">
        <v>251.66300000000001</v>
      </c>
      <c r="G153">
        <v>203.52</v>
      </c>
      <c r="H153">
        <v>253.94900000000001</v>
      </c>
      <c r="I153">
        <v>1.91</v>
      </c>
      <c r="J153">
        <v>14014</v>
      </c>
      <c r="K153">
        <v>145.30000000000001</v>
      </c>
      <c r="L153">
        <v>143.1</v>
      </c>
      <c r="M153">
        <v>203.8</v>
      </c>
      <c r="N153">
        <v>15238.6</v>
      </c>
      <c r="O153">
        <v>56602</v>
      </c>
      <c r="P153">
        <v>501962</v>
      </c>
      <c r="Q153">
        <v>3.8</v>
      </c>
      <c r="R153">
        <v>96.2</v>
      </c>
      <c r="S153">
        <v>3.2182499999999998</v>
      </c>
      <c r="T153">
        <v>2.83575</v>
      </c>
    </row>
    <row r="154" spans="1:20" x14ac:dyDescent="0.2">
      <c r="A154" s="1">
        <v>43344</v>
      </c>
      <c r="B154">
        <v>1.651</v>
      </c>
      <c r="C154">
        <v>2.8959999999999999</v>
      </c>
      <c r="D154">
        <v>1.4870000000000001</v>
      </c>
      <c r="E154">
        <v>2.89</v>
      </c>
      <c r="F154">
        <v>252.18199999999999</v>
      </c>
      <c r="G154">
        <v>201.56100000000001</v>
      </c>
      <c r="H154">
        <v>254.30199999999999</v>
      </c>
      <c r="I154">
        <v>1.95</v>
      </c>
      <c r="J154">
        <v>14017.8</v>
      </c>
      <c r="K154">
        <v>143.69999999999999</v>
      </c>
      <c r="L154">
        <v>131.5</v>
      </c>
      <c r="M154">
        <v>197.4</v>
      </c>
      <c r="N154">
        <v>15237.5</v>
      </c>
      <c r="O154">
        <v>51448</v>
      </c>
      <c r="P154">
        <v>500033</v>
      </c>
      <c r="Q154">
        <v>3.7</v>
      </c>
      <c r="R154">
        <v>100.1</v>
      </c>
      <c r="S154">
        <v>3.2622499999999999</v>
      </c>
      <c r="T154">
        <v>2.8355000000000001</v>
      </c>
    </row>
    <row r="155" spans="1:20" x14ac:dyDescent="0.2">
      <c r="A155" s="1">
        <v>43374</v>
      </c>
      <c r="B155">
        <v>1.66</v>
      </c>
      <c r="C155">
        <v>3.0470000000000002</v>
      </c>
      <c r="D155">
        <v>1.444</v>
      </c>
      <c r="E155">
        <v>2.9129999999999998</v>
      </c>
      <c r="F155">
        <v>252.77199999999999</v>
      </c>
      <c r="G155">
        <v>202.66800000000001</v>
      </c>
      <c r="H155">
        <v>254.17</v>
      </c>
      <c r="I155">
        <v>2.19</v>
      </c>
      <c r="J155">
        <v>14083.1</v>
      </c>
      <c r="K155">
        <v>142.5</v>
      </c>
      <c r="L155">
        <v>136.80000000000001</v>
      </c>
      <c r="M155">
        <v>193.8</v>
      </c>
      <c r="N155">
        <v>15274.1</v>
      </c>
      <c r="O155">
        <v>52869</v>
      </c>
      <c r="P155">
        <v>505622</v>
      </c>
      <c r="Q155">
        <v>3.8</v>
      </c>
      <c r="R155">
        <v>98.6</v>
      </c>
      <c r="S155">
        <v>3.3654000000000002</v>
      </c>
      <c r="T155">
        <v>2.86</v>
      </c>
    </row>
    <row r="156" spans="1:20" x14ac:dyDescent="0.2">
      <c r="A156" s="1">
        <v>43405</v>
      </c>
      <c r="B156">
        <v>1.5960000000000001</v>
      </c>
      <c r="C156">
        <v>3.052</v>
      </c>
      <c r="D156">
        <v>1.5009999999999999</v>
      </c>
      <c r="E156">
        <v>2.8769999999999998</v>
      </c>
      <c r="F156">
        <v>252.59399999999999</v>
      </c>
      <c r="G156">
        <v>202.72300000000001</v>
      </c>
      <c r="H156">
        <v>254.887</v>
      </c>
      <c r="I156">
        <v>2.2000000000000002</v>
      </c>
      <c r="J156">
        <v>14162.9</v>
      </c>
      <c r="K156">
        <v>145.4</v>
      </c>
      <c r="L156">
        <v>140.80000000000001</v>
      </c>
      <c r="M156">
        <v>192</v>
      </c>
      <c r="N156">
        <v>15315.2</v>
      </c>
      <c r="O156">
        <v>50969</v>
      </c>
      <c r="P156">
        <v>507278</v>
      </c>
      <c r="Q156">
        <v>3.8</v>
      </c>
      <c r="R156">
        <v>97.5</v>
      </c>
      <c r="S156">
        <v>3.2995000000000001</v>
      </c>
      <c r="T156">
        <v>2.6472500000000001</v>
      </c>
    </row>
    <row r="157" spans="1:20" x14ac:dyDescent="0.2">
      <c r="A157" s="1">
        <v>43435</v>
      </c>
      <c r="B157">
        <v>1.595</v>
      </c>
      <c r="C157">
        <v>3.1120000000000001</v>
      </c>
      <c r="D157">
        <v>1.466</v>
      </c>
      <c r="E157">
        <v>2.8530000000000002</v>
      </c>
      <c r="F157">
        <v>252.767</v>
      </c>
      <c r="G157">
        <v>206.85</v>
      </c>
      <c r="H157">
        <v>255.87700000000001</v>
      </c>
      <c r="I157">
        <v>2.27</v>
      </c>
      <c r="J157">
        <v>14051.6</v>
      </c>
      <c r="K157">
        <v>146.69999999999999</v>
      </c>
      <c r="L157">
        <v>148.4</v>
      </c>
      <c r="M157">
        <v>191.4</v>
      </c>
      <c r="N157">
        <v>15506.5</v>
      </c>
      <c r="O157">
        <v>55109</v>
      </c>
      <c r="P157">
        <v>496973</v>
      </c>
      <c r="Q157">
        <v>3.9</v>
      </c>
      <c r="R157">
        <v>98.3</v>
      </c>
      <c r="S157">
        <v>3.1227999999999998</v>
      </c>
      <c r="T157">
        <v>2.3656000000000001</v>
      </c>
    </row>
    <row r="158" spans="1:20" x14ac:dyDescent="0.2">
      <c r="A158" s="1">
        <v>43466</v>
      </c>
      <c r="B158">
        <v>1.554</v>
      </c>
      <c r="C158">
        <v>3.0630000000000002</v>
      </c>
      <c r="D158">
        <v>1.4730000000000001</v>
      </c>
      <c r="E158">
        <v>2.9129999999999998</v>
      </c>
      <c r="F158">
        <v>252.56100000000001</v>
      </c>
      <c r="G158">
        <v>204.732</v>
      </c>
      <c r="H158">
        <v>256.53300000000002</v>
      </c>
      <c r="I158">
        <v>2.4</v>
      </c>
      <c r="J158">
        <v>14084.6</v>
      </c>
      <c r="K158">
        <v>140.6</v>
      </c>
      <c r="L158">
        <v>143.6</v>
      </c>
      <c r="M158">
        <v>193.4</v>
      </c>
      <c r="N158">
        <v>15536.3</v>
      </c>
      <c r="O158">
        <v>49904</v>
      </c>
      <c r="P158">
        <v>500208</v>
      </c>
      <c r="Q158">
        <v>4</v>
      </c>
      <c r="R158">
        <v>91.2</v>
      </c>
      <c r="S158">
        <v>2.9797500000000001</v>
      </c>
      <c r="T158">
        <v>2.2477499999999999</v>
      </c>
    </row>
    <row r="159" spans="1:20" x14ac:dyDescent="0.2">
      <c r="A159" s="1">
        <v>43497</v>
      </c>
      <c r="B159">
        <v>1.5569999999999999</v>
      </c>
      <c r="C159">
        <v>3.0619999999999998</v>
      </c>
      <c r="D159">
        <v>1.486</v>
      </c>
      <c r="E159">
        <v>2.9</v>
      </c>
      <c r="F159">
        <v>253.31899999999999</v>
      </c>
      <c r="G159">
        <v>203.768</v>
      </c>
      <c r="H159">
        <v>257.25299999999999</v>
      </c>
      <c r="I159">
        <v>2.4</v>
      </c>
      <c r="J159">
        <v>14117.4</v>
      </c>
      <c r="K159">
        <v>140.4</v>
      </c>
      <c r="L159">
        <v>148.6</v>
      </c>
      <c r="M159">
        <v>192.9</v>
      </c>
      <c r="N159">
        <v>15560.4</v>
      </c>
      <c r="O159">
        <v>49623</v>
      </c>
      <c r="P159">
        <v>500928</v>
      </c>
      <c r="Q159">
        <v>3.8</v>
      </c>
      <c r="R159">
        <v>93.8</v>
      </c>
      <c r="S159">
        <v>2.9965000000000002</v>
      </c>
      <c r="T159">
        <v>2.30925</v>
      </c>
    </row>
    <row r="160" spans="1:20" x14ac:dyDescent="0.2">
      <c r="A160" s="1">
        <v>43525</v>
      </c>
      <c r="B160">
        <v>1.544</v>
      </c>
      <c r="C160">
        <v>3.048</v>
      </c>
      <c r="D160">
        <v>1.468</v>
      </c>
      <c r="E160">
        <v>2.944</v>
      </c>
      <c r="F160">
        <v>254.27699999999999</v>
      </c>
      <c r="G160">
        <v>204.75700000000001</v>
      </c>
      <c r="H160">
        <v>257.68099999999998</v>
      </c>
      <c r="I160">
        <v>2.41</v>
      </c>
      <c r="J160">
        <v>14248.6</v>
      </c>
      <c r="K160">
        <v>135.9</v>
      </c>
      <c r="L160">
        <v>144.80000000000001</v>
      </c>
      <c r="M160">
        <v>193.4</v>
      </c>
      <c r="N160">
        <v>15566.5</v>
      </c>
      <c r="O160">
        <v>57771</v>
      </c>
      <c r="P160">
        <v>508944</v>
      </c>
      <c r="Q160">
        <v>3.8</v>
      </c>
      <c r="R160">
        <v>98.4</v>
      </c>
      <c r="S160">
        <v>3.0762499999999999</v>
      </c>
      <c r="T160">
        <v>2.516</v>
      </c>
    </row>
    <row r="161" spans="1:20" x14ac:dyDescent="0.2">
      <c r="A161" s="1">
        <v>43556</v>
      </c>
      <c r="B161">
        <v>1.4630000000000001</v>
      </c>
      <c r="C161">
        <v>3.0139999999999998</v>
      </c>
      <c r="D161">
        <v>1.4630000000000001</v>
      </c>
      <c r="E161">
        <v>2.98</v>
      </c>
      <c r="F161">
        <v>255.233</v>
      </c>
      <c r="G161">
        <v>204.18700000000001</v>
      </c>
      <c r="H161">
        <v>257.32499999999999</v>
      </c>
      <c r="I161">
        <v>2.42</v>
      </c>
      <c r="J161">
        <v>14290</v>
      </c>
      <c r="K161">
        <v>133.4</v>
      </c>
      <c r="L161">
        <v>145.80000000000001</v>
      </c>
      <c r="M161">
        <v>192.7</v>
      </c>
      <c r="N161">
        <v>15534.2</v>
      </c>
      <c r="O161">
        <v>55241</v>
      </c>
      <c r="P161">
        <v>509564</v>
      </c>
      <c r="Q161">
        <v>3.7</v>
      </c>
      <c r="R161">
        <v>97.2</v>
      </c>
      <c r="S161">
        <v>3.121</v>
      </c>
      <c r="T161">
        <v>2.7984</v>
      </c>
    </row>
    <row r="162" spans="1:20" x14ac:dyDescent="0.2">
      <c r="A162" s="1">
        <v>43586</v>
      </c>
      <c r="B162">
        <v>1.3620000000000001</v>
      </c>
      <c r="C162">
        <v>3.0920000000000001</v>
      </c>
      <c r="D162">
        <v>1.4790000000000001</v>
      </c>
      <c r="E162">
        <v>2.9630000000000001</v>
      </c>
      <c r="F162">
        <v>255.29599999999999</v>
      </c>
      <c r="G162">
        <v>203.18899999999999</v>
      </c>
      <c r="H162">
        <v>257.81799999999998</v>
      </c>
      <c r="I162">
        <v>2.39</v>
      </c>
      <c r="J162">
        <v>14353.3</v>
      </c>
      <c r="K162">
        <v>134.1</v>
      </c>
      <c r="L162">
        <v>134</v>
      </c>
      <c r="M162">
        <v>192.7</v>
      </c>
      <c r="N162">
        <v>15532.4</v>
      </c>
      <c r="O162">
        <v>59244</v>
      </c>
      <c r="P162">
        <v>512930</v>
      </c>
      <c r="Q162">
        <v>3.6</v>
      </c>
      <c r="R162">
        <v>100</v>
      </c>
      <c r="S162">
        <v>3.1612499999999999</v>
      </c>
      <c r="T162">
        <v>2.8592499999999998</v>
      </c>
    </row>
    <row r="163" spans="1:20" x14ac:dyDescent="0.2">
      <c r="A163" s="1">
        <v>43617</v>
      </c>
      <c r="B163">
        <v>1.2030000000000001</v>
      </c>
      <c r="C163">
        <v>3.0510000000000002</v>
      </c>
      <c r="D163">
        <v>1.59</v>
      </c>
      <c r="E163">
        <v>3.0539999999999998</v>
      </c>
      <c r="F163">
        <v>255.21299999999999</v>
      </c>
      <c r="G163">
        <v>202.91499999999999</v>
      </c>
      <c r="H163">
        <v>257.952</v>
      </c>
      <c r="I163">
        <v>2.38</v>
      </c>
      <c r="J163">
        <v>14408.7</v>
      </c>
      <c r="K163">
        <v>162.6</v>
      </c>
      <c r="L163">
        <v>140.4</v>
      </c>
      <c r="M163">
        <v>193</v>
      </c>
      <c r="N163">
        <v>15562.1</v>
      </c>
      <c r="O163">
        <v>58479</v>
      </c>
      <c r="P163">
        <v>513716</v>
      </c>
      <c r="Q163">
        <v>3.6</v>
      </c>
      <c r="R163">
        <v>98.2</v>
      </c>
      <c r="S163">
        <v>3.0884999999999998</v>
      </c>
      <c r="T163">
        <v>2.7157499999999999</v>
      </c>
    </row>
    <row r="164" spans="1:20" x14ac:dyDescent="0.2">
      <c r="A164" s="1">
        <v>43647</v>
      </c>
      <c r="B164">
        <v>1.2430000000000001</v>
      </c>
      <c r="C164">
        <v>2.9750000000000001</v>
      </c>
      <c r="D164">
        <v>1.5620000000000001</v>
      </c>
      <c r="E164">
        <v>3.0310000000000001</v>
      </c>
      <c r="F164">
        <v>255.80199999999999</v>
      </c>
      <c r="G164">
        <v>203.089</v>
      </c>
      <c r="H164">
        <v>258.05900000000003</v>
      </c>
      <c r="I164">
        <v>2.4</v>
      </c>
      <c r="J164">
        <v>14496</v>
      </c>
      <c r="K164">
        <v>176.8</v>
      </c>
      <c r="L164">
        <v>146.4</v>
      </c>
      <c r="M164">
        <v>195.3</v>
      </c>
      <c r="N164">
        <v>15581.4</v>
      </c>
      <c r="O164">
        <v>59033</v>
      </c>
      <c r="P164">
        <v>518274</v>
      </c>
      <c r="Q164">
        <v>3.7</v>
      </c>
      <c r="R164">
        <v>98.4</v>
      </c>
      <c r="S164">
        <v>3.0451999999999999</v>
      </c>
      <c r="T164">
        <v>2.74</v>
      </c>
    </row>
    <row r="165" spans="1:20" x14ac:dyDescent="0.2">
      <c r="A165" s="1">
        <v>43678</v>
      </c>
      <c r="B165">
        <v>1.2190000000000001</v>
      </c>
      <c r="C165">
        <v>2.96</v>
      </c>
      <c r="D165">
        <v>1.514</v>
      </c>
      <c r="E165">
        <v>3.0449999999999999</v>
      </c>
      <c r="F165">
        <v>256.036</v>
      </c>
      <c r="G165">
        <v>202.75800000000001</v>
      </c>
      <c r="H165">
        <v>258.28800000000001</v>
      </c>
      <c r="I165">
        <v>2.13</v>
      </c>
      <c r="J165">
        <v>14558.2</v>
      </c>
      <c r="K165">
        <v>158.30000000000001</v>
      </c>
      <c r="L165">
        <v>144.5</v>
      </c>
      <c r="M165">
        <v>196.6</v>
      </c>
      <c r="N165">
        <v>15664.3</v>
      </c>
      <c r="O165">
        <v>59821</v>
      </c>
      <c r="P165">
        <v>521348</v>
      </c>
      <c r="Q165">
        <v>3.6</v>
      </c>
      <c r="R165">
        <v>89.8</v>
      </c>
      <c r="S165">
        <v>3.0049999999999999</v>
      </c>
      <c r="T165">
        <v>2.621</v>
      </c>
    </row>
    <row r="166" spans="1:20" x14ac:dyDescent="0.2">
      <c r="A166" s="1">
        <v>43709</v>
      </c>
      <c r="B166">
        <v>1.383</v>
      </c>
      <c r="C166">
        <v>2.93</v>
      </c>
      <c r="D166">
        <v>1.4870000000000001</v>
      </c>
      <c r="E166">
        <v>3.1019999999999999</v>
      </c>
      <c r="F166">
        <v>256.43</v>
      </c>
      <c r="G166">
        <v>202.62</v>
      </c>
      <c r="H166">
        <v>258.86500000000001</v>
      </c>
      <c r="I166">
        <v>2.04</v>
      </c>
      <c r="J166">
        <v>14590.6</v>
      </c>
      <c r="K166">
        <v>157.5</v>
      </c>
      <c r="L166">
        <v>141.6</v>
      </c>
      <c r="M166">
        <v>196.3</v>
      </c>
      <c r="N166">
        <v>15697.5</v>
      </c>
      <c r="O166">
        <v>54560</v>
      </c>
      <c r="P166">
        <v>518188</v>
      </c>
      <c r="Q166">
        <v>3.5</v>
      </c>
      <c r="R166">
        <v>93.2</v>
      </c>
      <c r="S166">
        <v>3.0162</v>
      </c>
      <c r="T166">
        <v>2.5922000000000001</v>
      </c>
    </row>
    <row r="167" spans="1:20" x14ac:dyDescent="0.2">
      <c r="A167" s="1">
        <v>43739</v>
      </c>
      <c r="B167">
        <v>1.282</v>
      </c>
      <c r="C167">
        <v>2.948</v>
      </c>
      <c r="D167">
        <v>1.538</v>
      </c>
      <c r="E167">
        <v>3.1190000000000002</v>
      </c>
      <c r="F167">
        <v>257.15499999999997</v>
      </c>
      <c r="G167">
        <v>203.30600000000001</v>
      </c>
      <c r="H167">
        <v>259.43400000000003</v>
      </c>
      <c r="I167">
        <v>1.83</v>
      </c>
      <c r="J167">
        <v>14617.4</v>
      </c>
      <c r="K167">
        <v>169.3</v>
      </c>
      <c r="L167">
        <v>153.6</v>
      </c>
      <c r="M167">
        <v>194.3</v>
      </c>
      <c r="N167">
        <v>15718.1</v>
      </c>
      <c r="O167">
        <v>56553</v>
      </c>
      <c r="P167">
        <v>519795</v>
      </c>
      <c r="Q167">
        <v>3.6</v>
      </c>
      <c r="R167">
        <v>95.5</v>
      </c>
      <c r="S167">
        <v>3.0529999999999999</v>
      </c>
      <c r="T167">
        <v>2.6269999999999998</v>
      </c>
    </row>
    <row r="168" spans="1:20" x14ac:dyDescent="0.2">
      <c r="A168" s="1">
        <v>43770</v>
      </c>
      <c r="B168">
        <v>1.405</v>
      </c>
      <c r="C168">
        <v>2.94</v>
      </c>
      <c r="D168">
        <v>1.43</v>
      </c>
      <c r="E168">
        <v>3.1890000000000001</v>
      </c>
      <c r="F168">
        <v>257.87900000000002</v>
      </c>
      <c r="G168">
        <v>203.12799999999999</v>
      </c>
      <c r="H168">
        <v>260.048</v>
      </c>
      <c r="I168">
        <v>1.55</v>
      </c>
      <c r="J168">
        <v>14711</v>
      </c>
      <c r="K168">
        <v>160.1</v>
      </c>
      <c r="L168">
        <v>152.19999999999999</v>
      </c>
      <c r="M168">
        <v>194.5</v>
      </c>
      <c r="N168">
        <v>15766.9</v>
      </c>
      <c r="O168">
        <v>55186</v>
      </c>
      <c r="P168">
        <v>523120</v>
      </c>
      <c r="Q168">
        <v>3.6</v>
      </c>
      <c r="R168">
        <v>96.8</v>
      </c>
      <c r="S168">
        <v>3.0687500000000001</v>
      </c>
      <c r="T168">
        <v>2.59775</v>
      </c>
    </row>
    <row r="169" spans="1:20" x14ac:dyDescent="0.2">
      <c r="A169" s="1">
        <v>43800</v>
      </c>
      <c r="B169">
        <v>1.5349999999999999</v>
      </c>
      <c r="C169">
        <v>3.113</v>
      </c>
      <c r="D169">
        <v>1.45</v>
      </c>
      <c r="E169">
        <v>3.1880000000000002</v>
      </c>
      <c r="F169">
        <v>258.63</v>
      </c>
      <c r="G169">
        <v>203.04599999999999</v>
      </c>
      <c r="H169">
        <v>260.483</v>
      </c>
      <c r="I169">
        <v>1.55</v>
      </c>
      <c r="J169">
        <v>14774.8</v>
      </c>
      <c r="K169">
        <v>153.1</v>
      </c>
      <c r="L169">
        <v>151.80000000000001</v>
      </c>
      <c r="M169">
        <v>193.9</v>
      </c>
      <c r="N169">
        <v>15683.8</v>
      </c>
      <c r="O169">
        <v>58634</v>
      </c>
      <c r="P169">
        <v>524954</v>
      </c>
      <c r="Q169">
        <v>3.6</v>
      </c>
      <c r="R169">
        <v>99.3</v>
      </c>
      <c r="S169">
        <v>3.0550000000000002</v>
      </c>
      <c r="T169">
        <v>2.5550000000000002</v>
      </c>
    </row>
    <row r="170" spans="1:20" x14ac:dyDescent="0.2">
      <c r="A170" s="1">
        <v>43831</v>
      </c>
      <c r="B170">
        <v>1.4610000000000001</v>
      </c>
      <c r="C170">
        <v>3.0590000000000002</v>
      </c>
      <c r="D170">
        <v>1.409</v>
      </c>
      <c r="E170">
        <v>3.2530000000000001</v>
      </c>
      <c r="F170">
        <v>259.12700000000001</v>
      </c>
      <c r="G170">
        <v>203.30500000000001</v>
      </c>
      <c r="H170">
        <v>261.29300000000001</v>
      </c>
      <c r="I170">
        <v>1.55</v>
      </c>
      <c r="J170">
        <v>14844.3</v>
      </c>
      <c r="K170">
        <v>158.1</v>
      </c>
      <c r="L170">
        <v>158.5</v>
      </c>
      <c r="M170">
        <v>195.3</v>
      </c>
      <c r="N170">
        <v>15857.3</v>
      </c>
      <c r="O170">
        <v>55069</v>
      </c>
      <c r="P170">
        <v>525411</v>
      </c>
      <c r="Q170">
        <v>3.6</v>
      </c>
      <c r="R170">
        <v>99.8</v>
      </c>
      <c r="S170">
        <v>3.0474999999999999</v>
      </c>
      <c r="T170">
        <v>2.5477500000000002</v>
      </c>
    </row>
    <row r="171" spans="1:20" x14ac:dyDescent="0.2">
      <c r="A171" s="1">
        <v>43862</v>
      </c>
      <c r="B171">
        <v>1.4490000000000001</v>
      </c>
      <c r="C171">
        <v>3.0129999999999999</v>
      </c>
      <c r="D171">
        <v>1.3620000000000001</v>
      </c>
      <c r="E171">
        <v>3.1960000000000002</v>
      </c>
      <c r="F171">
        <v>259.25</v>
      </c>
      <c r="G171">
        <v>203.411</v>
      </c>
      <c r="H171">
        <v>261.96199999999999</v>
      </c>
      <c r="I171">
        <v>1.58</v>
      </c>
      <c r="J171">
        <v>14833.8</v>
      </c>
      <c r="K171">
        <v>149</v>
      </c>
      <c r="L171">
        <v>149.5</v>
      </c>
      <c r="M171">
        <v>195.7</v>
      </c>
      <c r="N171">
        <v>15916.8</v>
      </c>
      <c r="O171">
        <v>56078</v>
      </c>
      <c r="P171">
        <v>525380</v>
      </c>
      <c r="Q171">
        <v>3.5</v>
      </c>
      <c r="R171">
        <v>101</v>
      </c>
      <c r="S171">
        <v>2.9095</v>
      </c>
      <c r="T171">
        <v>2.4420000000000002</v>
      </c>
    </row>
    <row r="172" spans="1:20" x14ac:dyDescent="0.2">
      <c r="A172" s="1">
        <v>43891</v>
      </c>
      <c r="B172">
        <v>1.5249999999999999</v>
      </c>
      <c r="C172">
        <v>2.956</v>
      </c>
      <c r="D172">
        <v>1.4</v>
      </c>
      <c r="E172">
        <v>3.2480000000000002</v>
      </c>
      <c r="F172">
        <v>258.07600000000002</v>
      </c>
      <c r="G172">
        <v>203.44800000000001</v>
      </c>
      <c r="H172">
        <v>262.62200000000001</v>
      </c>
      <c r="I172">
        <v>0.65</v>
      </c>
      <c r="J172">
        <v>13810.5</v>
      </c>
      <c r="K172">
        <v>150.80000000000001</v>
      </c>
      <c r="L172">
        <v>148.19999999999999</v>
      </c>
      <c r="M172">
        <v>195.8</v>
      </c>
      <c r="N172">
        <v>15704.9</v>
      </c>
      <c r="O172">
        <v>43236</v>
      </c>
      <c r="P172">
        <v>477676</v>
      </c>
      <c r="Q172">
        <v>4.4000000000000004</v>
      </c>
      <c r="R172">
        <v>89.1</v>
      </c>
      <c r="S172">
        <v>2.7286000000000001</v>
      </c>
      <c r="T172">
        <v>2.2342</v>
      </c>
    </row>
    <row r="173" spans="1:20" x14ac:dyDescent="0.2">
      <c r="A173" s="1">
        <v>43922</v>
      </c>
      <c r="B173">
        <v>2.0190000000000001</v>
      </c>
      <c r="C173">
        <v>3.1579999999999999</v>
      </c>
      <c r="D173">
        <v>1.571</v>
      </c>
      <c r="E173">
        <v>3.2669999999999999</v>
      </c>
      <c r="F173">
        <v>256.03199999999998</v>
      </c>
      <c r="G173">
        <v>203.86099999999999</v>
      </c>
      <c r="H173">
        <v>266.37</v>
      </c>
      <c r="I173">
        <v>0.05</v>
      </c>
      <c r="J173">
        <v>12234.4</v>
      </c>
      <c r="K173">
        <v>119.3</v>
      </c>
      <c r="L173">
        <v>143.69999999999999</v>
      </c>
      <c r="M173">
        <v>196.7</v>
      </c>
      <c r="N173">
        <v>18030.2</v>
      </c>
      <c r="O173">
        <v>28333</v>
      </c>
      <c r="P173">
        <v>408312</v>
      </c>
      <c r="Q173">
        <v>14.8</v>
      </c>
      <c r="R173">
        <v>71.8</v>
      </c>
      <c r="S173">
        <v>2.4929999999999999</v>
      </c>
      <c r="T173">
        <v>1.8405</v>
      </c>
    </row>
    <row r="174" spans="1:20" x14ac:dyDescent="0.2">
      <c r="A174" s="1">
        <v>43952</v>
      </c>
      <c r="B174">
        <v>1.64</v>
      </c>
      <c r="C174">
        <v>3.3479999999999999</v>
      </c>
      <c r="D174">
        <v>1.659</v>
      </c>
      <c r="E174">
        <v>3.21</v>
      </c>
      <c r="F174">
        <v>255.80199999999999</v>
      </c>
      <c r="G174">
        <v>203.34399999999999</v>
      </c>
      <c r="H174">
        <v>268.08600000000001</v>
      </c>
      <c r="I174">
        <v>0.05</v>
      </c>
      <c r="J174">
        <v>13251.7</v>
      </c>
      <c r="K174">
        <v>115.8</v>
      </c>
      <c r="L174">
        <v>144.19999999999999</v>
      </c>
      <c r="M174">
        <v>191.7</v>
      </c>
      <c r="N174">
        <v>17114.400000000001</v>
      </c>
      <c r="O174">
        <v>40950</v>
      </c>
      <c r="P174">
        <v>484978</v>
      </c>
      <c r="Q174">
        <v>13.2</v>
      </c>
      <c r="R174">
        <v>72.3</v>
      </c>
      <c r="S174">
        <v>2.3922500000000002</v>
      </c>
      <c r="T174">
        <v>1.8694999999999999</v>
      </c>
    </row>
    <row r="175" spans="1:20" x14ac:dyDescent="0.2">
      <c r="A175" s="1">
        <v>43983</v>
      </c>
      <c r="B175">
        <v>1.554</v>
      </c>
      <c r="C175">
        <v>3.3490000000000002</v>
      </c>
      <c r="D175">
        <v>1.7470000000000001</v>
      </c>
      <c r="E175">
        <v>3.198</v>
      </c>
      <c r="F175">
        <v>257.04199999999997</v>
      </c>
      <c r="G175">
        <v>203.53899999999999</v>
      </c>
      <c r="H175">
        <v>269.553</v>
      </c>
      <c r="I175">
        <v>0.08</v>
      </c>
      <c r="J175">
        <v>14040.8</v>
      </c>
      <c r="K175">
        <v>121.1</v>
      </c>
      <c r="L175">
        <v>146.1</v>
      </c>
      <c r="M175">
        <v>188.6</v>
      </c>
      <c r="N175">
        <v>17047.5</v>
      </c>
      <c r="O175">
        <v>50011</v>
      </c>
      <c r="P175">
        <v>526970</v>
      </c>
      <c r="Q175">
        <v>11</v>
      </c>
      <c r="R175">
        <v>78.099999999999994</v>
      </c>
      <c r="S175">
        <v>2.4079999999999999</v>
      </c>
      <c r="T175">
        <v>2.0821999999999998</v>
      </c>
    </row>
    <row r="176" spans="1:20" x14ac:dyDescent="0.2">
      <c r="A176" s="1">
        <v>44013</v>
      </c>
      <c r="B176">
        <v>1.401</v>
      </c>
      <c r="C176">
        <v>3.2210000000000001</v>
      </c>
      <c r="D176">
        <v>1.712</v>
      </c>
      <c r="E176">
        <v>3.2549999999999999</v>
      </c>
      <c r="F176">
        <v>258.35199999999998</v>
      </c>
      <c r="G176">
        <v>203.35900000000001</v>
      </c>
      <c r="H176">
        <v>268.53199999999998</v>
      </c>
      <c r="I176">
        <v>0.09</v>
      </c>
      <c r="J176">
        <v>14303.8</v>
      </c>
      <c r="K176">
        <v>128.6</v>
      </c>
      <c r="L176">
        <v>148.4</v>
      </c>
      <c r="M176">
        <v>188.3</v>
      </c>
      <c r="N176">
        <v>17195.8</v>
      </c>
      <c r="O176">
        <v>52982</v>
      </c>
      <c r="P176">
        <v>535644</v>
      </c>
      <c r="Q176">
        <v>10.199999999999999</v>
      </c>
      <c r="R176">
        <v>72.5</v>
      </c>
      <c r="S176">
        <v>2.4337499999999999</v>
      </c>
      <c r="T176">
        <v>2.1832500000000001</v>
      </c>
    </row>
    <row r="177" spans="1:20" x14ac:dyDescent="0.2">
      <c r="A177" s="1">
        <v>44044</v>
      </c>
      <c r="B177">
        <v>1.3280000000000001</v>
      </c>
      <c r="C177">
        <v>3.2759999999999998</v>
      </c>
      <c r="D177">
        <v>1.609</v>
      </c>
      <c r="E177">
        <v>3.4060000000000001</v>
      </c>
      <c r="F177">
        <v>259.31599999999997</v>
      </c>
      <c r="G177">
        <v>202.93700000000001</v>
      </c>
      <c r="H177">
        <v>268.95699999999999</v>
      </c>
      <c r="I177">
        <v>0.1</v>
      </c>
      <c r="J177">
        <v>14454.9</v>
      </c>
      <c r="K177">
        <v>126.9</v>
      </c>
      <c r="L177">
        <v>146.69999999999999</v>
      </c>
      <c r="M177">
        <v>185.7</v>
      </c>
      <c r="N177">
        <v>16524.8</v>
      </c>
      <c r="O177">
        <v>54384</v>
      </c>
      <c r="P177">
        <v>540423</v>
      </c>
      <c r="Q177">
        <v>8.4</v>
      </c>
      <c r="R177">
        <v>74.099999999999994</v>
      </c>
      <c r="S177">
        <v>2.4291999999999998</v>
      </c>
      <c r="T177">
        <v>2.1823999999999999</v>
      </c>
    </row>
    <row r="178" spans="1:20" x14ac:dyDescent="0.2">
      <c r="A178" s="1">
        <v>44075</v>
      </c>
      <c r="B178">
        <v>1.353</v>
      </c>
      <c r="C178">
        <v>3.302</v>
      </c>
      <c r="D178">
        <v>1.542</v>
      </c>
      <c r="E178">
        <v>3.448</v>
      </c>
      <c r="F178">
        <v>259.99700000000001</v>
      </c>
      <c r="G178">
        <v>205.55</v>
      </c>
      <c r="H178">
        <v>269.04300000000001</v>
      </c>
      <c r="I178">
        <v>0.09</v>
      </c>
      <c r="J178">
        <v>14675.4</v>
      </c>
      <c r="K178">
        <v>152.30000000000001</v>
      </c>
      <c r="L178">
        <v>167.3</v>
      </c>
      <c r="M178">
        <v>189.8</v>
      </c>
      <c r="N178">
        <v>16616.5</v>
      </c>
      <c r="O178">
        <v>52242</v>
      </c>
      <c r="P178">
        <v>551131</v>
      </c>
      <c r="Q178">
        <v>7.8</v>
      </c>
      <c r="R178">
        <v>80.400000000000006</v>
      </c>
      <c r="S178">
        <v>2.4137499999999998</v>
      </c>
      <c r="T178">
        <v>2.18275</v>
      </c>
    </row>
    <row r="179" spans="1:20" x14ac:dyDescent="0.2">
      <c r="A179" s="1">
        <v>44105</v>
      </c>
      <c r="B179">
        <v>1.4079999999999999</v>
      </c>
      <c r="C179">
        <v>3.29</v>
      </c>
      <c r="D179">
        <v>1.58</v>
      </c>
      <c r="E179">
        <v>3.38</v>
      </c>
      <c r="F179">
        <v>260.31900000000002</v>
      </c>
      <c r="G179">
        <v>206.14099999999999</v>
      </c>
      <c r="H179">
        <v>269.65300000000002</v>
      </c>
      <c r="I179">
        <v>0.09</v>
      </c>
      <c r="J179">
        <v>14726</v>
      </c>
      <c r="K179">
        <v>162.9</v>
      </c>
      <c r="L179">
        <v>175.6</v>
      </c>
      <c r="M179">
        <v>198</v>
      </c>
      <c r="N179">
        <v>16552.900000000001</v>
      </c>
      <c r="O179">
        <v>54660</v>
      </c>
      <c r="P179">
        <v>549271</v>
      </c>
      <c r="Q179">
        <v>6.9</v>
      </c>
      <c r="R179">
        <v>81.8</v>
      </c>
      <c r="S179">
        <v>2.3887499999999999</v>
      </c>
      <c r="T179">
        <v>2.1579999999999999</v>
      </c>
    </row>
    <row r="180" spans="1:20" x14ac:dyDescent="0.2">
      <c r="A180" s="1">
        <v>44136</v>
      </c>
      <c r="B180">
        <v>1.45</v>
      </c>
      <c r="C180">
        <v>3.4119999999999999</v>
      </c>
      <c r="D180">
        <v>1.639</v>
      </c>
      <c r="E180">
        <v>3.4249999999999998</v>
      </c>
      <c r="F180">
        <v>260.911</v>
      </c>
      <c r="G180">
        <v>207.489</v>
      </c>
      <c r="H180">
        <v>269.63600000000002</v>
      </c>
      <c r="I180">
        <v>0.09</v>
      </c>
      <c r="J180">
        <v>14704.9</v>
      </c>
      <c r="K180">
        <v>172.1</v>
      </c>
      <c r="L180">
        <v>194.6</v>
      </c>
      <c r="M180">
        <v>207.8</v>
      </c>
      <c r="N180">
        <v>16350.6</v>
      </c>
      <c r="O180">
        <v>48585</v>
      </c>
      <c r="P180">
        <v>544421</v>
      </c>
      <c r="Q180">
        <v>6.7</v>
      </c>
      <c r="R180">
        <v>76.900000000000006</v>
      </c>
      <c r="S180">
        <v>2.4319999999999999</v>
      </c>
      <c r="T180">
        <v>2.1082000000000001</v>
      </c>
    </row>
    <row r="181" spans="1:20" x14ac:dyDescent="0.2">
      <c r="A181" s="1">
        <v>44166</v>
      </c>
      <c r="B181">
        <v>1.4810000000000001</v>
      </c>
      <c r="C181">
        <v>3.2930000000000001</v>
      </c>
      <c r="D181">
        <v>1.621</v>
      </c>
      <c r="E181">
        <v>3.5350000000000001</v>
      </c>
      <c r="F181">
        <v>262.04500000000002</v>
      </c>
      <c r="G181">
        <v>208.05600000000001</v>
      </c>
      <c r="H181">
        <v>270.78100000000001</v>
      </c>
      <c r="I181">
        <v>0.09</v>
      </c>
      <c r="J181">
        <v>14827.3</v>
      </c>
      <c r="K181">
        <v>171.2</v>
      </c>
      <c r="L181">
        <v>202.4</v>
      </c>
      <c r="M181">
        <v>214.8</v>
      </c>
      <c r="N181">
        <v>16391.2</v>
      </c>
      <c r="O181">
        <v>49382</v>
      </c>
      <c r="P181">
        <v>549300</v>
      </c>
      <c r="Q181">
        <v>6.7</v>
      </c>
      <c r="R181">
        <v>80.7</v>
      </c>
      <c r="S181">
        <v>2.5847500000000001</v>
      </c>
      <c r="T181">
        <v>2.1952500000000001</v>
      </c>
    </row>
    <row r="182" spans="1:20" x14ac:dyDescent="0.2">
      <c r="A182" s="1">
        <v>44197</v>
      </c>
      <c r="B182">
        <v>1.466</v>
      </c>
      <c r="C182">
        <v>3.26</v>
      </c>
      <c r="D182">
        <v>1.595</v>
      </c>
      <c r="E182">
        <v>3.468</v>
      </c>
      <c r="F182">
        <v>262.63900000000001</v>
      </c>
      <c r="G182">
        <v>207.22200000000001</v>
      </c>
      <c r="H182">
        <v>271.22300000000001</v>
      </c>
      <c r="I182">
        <v>0.09</v>
      </c>
      <c r="J182">
        <v>15081.5</v>
      </c>
      <c r="K182">
        <v>208.8</v>
      </c>
      <c r="L182">
        <v>243.1</v>
      </c>
      <c r="M182">
        <v>225.2</v>
      </c>
      <c r="N182">
        <v>18146.5</v>
      </c>
      <c r="O182">
        <v>50362</v>
      </c>
      <c r="P182">
        <v>570510</v>
      </c>
      <c r="Q182">
        <v>6.4</v>
      </c>
      <c r="R182">
        <v>79</v>
      </c>
      <c r="S182">
        <v>2.6804999999999999</v>
      </c>
      <c r="T182">
        <v>2.3342499999999999</v>
      </c>
    </row>
    <row r="183" spans="1:20" x14ac:dyDescent="0.2">
      <c r="A183" s="1">
        <v>44228</v>
      </c>
      <c r="B183">
        <v>1.597</v>
      </c>
      <c r="C183">
        <v>3.2389999999999999</v>
      </c>
      <c r="D183">
        <v>1.583</v>
      </c>
      <c r="E183">
        <v>3.3679999999999999</v>
      </c>
      <c r="F183">
        <v>263.57299999999998</v>
      </c>
      <c r="G183">
        <v>209.89</v>
      </c>
      <c r="H183">
        <v>271.49799999999999</v>
      </c>
      <c r="I183">
        <v>0.08</v>
      </c>
      <c r="J183">
        <v>14984.4</v>
      </c>
      <c r="K183">
        <v>215.9</v>
      </c>
      <c r="L183">
        <v>240.3</v>
      </c>
      <c r="M183">
        <v>235.6</v>
      </c>
      <c r="N183">
        <v>16633.900000000001</v>
      </c>
      <c r="O183">
        <v>47552</v>
      </c>
      <c r="P183">
        <v>555489</v>
      </c>
      <c r="Q183">
        <v>6.2</v>
      </c>
      <c r="R183">
        <v>76.8</v>
      </c>
      <c r="S183">
        <v>2.847</v>
      </c>
      <c r="T183">
        <v>2.5009999999999999</v>
      </c>
    </row>
    <row r="184" spans="1:20" x14ac:dyDescent="0.2">
      <c r="A184" s="1">
        <v>44256</v>
      </c>
      <c r="B184">
        <v>1.625</v>
      </c>
      <c r="C184">
        <v>3.2909999999999999</v>
      </c>
      <c r="D184">
        <v>1.5429999999999999</v>
      </c>
      <c r="E184">
        <v>3.3479999999999999</v>
      </c>
      <c r="F184">
        <v>264.84699999999998</v>
      </c>
      <c r="G184">
        <v>211.43199999999999</v>
      </c>
      <c r="H184">
        <v>271.75599999999997</v>
      </c>
      <c r="I184">
        <v>7.0000000000000007E-2</v>
      </c>
      <c r="J184">
        <v>15712.4</v>
      </c>
      <c r="K184">
        <v>217.8</v>
      </c>
      <c r="L184">
        <v>248.5</v>
      </c>
      <c r="M184">
        <v>241.9</v>
      </c>
      <c r="N184">
        <v>20445.8</v>
      </c>
      <c r="O184">
        <v>61303</v>
      </c>
      <c r="P184">
        <v>616348</v>
      </c>
      <c r="Q184">
        <v>6.1</v>
      </c>
      <c r="R184">
        <v>84.9</v>
      </c>
      <c r="S184">
        <v>3.1522000000000001</v>
      </c>
      <c r="T184">
        <v>2.8104</v>
      </c>
    </row>
    <row r="185" spans="1:20" x14ac:dyDescent="0.2">
      <c r="A185" s="1">
        <v>44287</v>
      </c>
      <c r="B185">
        <v>1.62</v>
      </c>
      <c r="C185">
        <v>3.4060000000000001</v>
      </c>
      <c r="D185">
        <v>1.5149999999999999</v>
      </c>
      <c r="E185">
        <v>3.4470000000000001</v>
      </c>
      <c r="F185">
        <v>266.625</v>
      </c>
      <c r="G185">
        <v>214.821</v>
      </c>
      <c r="H185">
        <v>272.76100000000002</v>
      </c>
      <c r="I185">
        <v>7.0000000000000007E-2</v>
      </c>
      <c r="J185">
        <v>15915</v>
      </c>
      <c r="K185">
        <v>227</v>
      </c>
      <c r="L185">
        <v>241.8</v>
      </c>
      <c r="M185">
        <v>246.6</v>
      </c>
      <c r="N185">
        <v>17335.400000000001</v>
      </c>
      <c r="O185">
        <v>63009</v>
      </c>
      <c r="P185">
        <v>622705</v>
      </c>
      <c r="Q185">
        <v>6.1</v>
      </c>
      <c r="R185">
        <v>88.3</v>
      </c>
      <c r="S185">
        <v>3.1302500000000002</v>
      </c>
      <c r="T185">
        <v>2.85825</v>
      </c>
    </row>
    <row r="186" spans="1:20" x14ac:dyDescent="0.2">
      <c r="A186" s="1">
        <v>44317</v>
      </c>
      <c r="B186">
        <v>1.625</v>
      </c>
      <c r="C186">
        <v>3.371</v>
      </c>
      <c r="D186">
        <v>1.486</v>
      </c>
      <c r="E186">
        <v>3.4969999999999999</v>
      </c>
      <c r="F186">
        <v>268.404</v>
      </c>
      <c r="G186">
        <v>216.154</v>
      </c>
      <c r="H186">
        <v>273.89</v>
      </c>
      <c r="I186">
        <v>0.06</v>
      </c>
      <c r="J186">
        <v>15950.5</v>
      </c>
      <c r="K186">
        <v>292</v>
      </c>
      <c r="L186">
        <v>286.39999999999998</v>
      </c>
      <c r="M186">
        <v>260.89999999999998</v>
      </c>
      <c r="N186">
        <v>16836.3</v>
      </c>
      <c r="O186">
        <v>67905</v>
      </c>
      <c r="P186">
        <v>615543</v>
      </c>
      <c r="Q186">
        <v>5.8</v>
      </c>
      <c r="R186">
        <v>82.9</v>
      </c>
      <c r="S186">
        <v>3.2170000000000001</v>
      </c>
      <c r="T186">
        <v>2.9851999999999999</v>
      </c>
    </row>
    <row r="187" spans="1:20" x14ac:dyDescent="0.2">
      <c r="A187" s="1">
        <v>44348</v>
      </c>
      <c r="B187">
        <v>1.6419999999999999</v>
      </c>
      <c r="C187">
        <v>3.3530000000000002</v>
      </c>
      <c r="D187">
        <v>1.474</v>
      </c>
      <c r="E187">
        <v>3.5569999999999999</v>
      </c>
      <c r="F187">
        <v>270.70999999999998</v>
      </c>
      <c r="G187">
        <v>216.803</v>
      </c>
      <c r="H187">
        <v>276.00200000000001</v>
      </c>
      <c r="I187">
        <v>0.08</v>
      </c>
      <c r="J187">
        <v>16183.6</v>
      </c>
      <c r="K187">
        <v>266.5</v>
      </c>
      <c r="L187">
        <v>251.8</v>
      </c>
      <c r="M187">
        <v>267.39999999999998</v>
      </c>
      <c r="N187">
        <v>16757.8</v>
      </c>
      <c r="O187">
        <v>67739</v>
      </c>
      <c r="P187">
        <v>622125</v>
      </c>
      <c r="Q187">
        <v>5.9</v>
      </c>
      <c r="R187">
        <v>85.5</v>
      </c>
      <c r="S187">
        <v>3.2867500000000001</v>
      </c>
      <c r="T187">
        <v>3.0637500000000002</v>
      </c>
    </row>
    <row r="188" spans="1:20" x14ac:dyDescent="0.2">
      <c r="A188" s="1">
        <v>44378</v>
      </c>
      <c r="B188">
        <v>1.6419999999999999</v>
      </c>
      <c r="C188">
        <v>3.5</v>
      </c>
      <c r="D188">
        <v>1.4350000000000001</v>
      </c>
      <c r="E188">
        <v>3.6269999999999998</v>
      </c>
      <c r="F188">
        <v>271.96499999999997</v>
      </c>
      <c r="G188">
        <v>218.423</v>
      </c>
      <c r="H188">
        <v>277.75900000000001</v>
      </c>
      <c r="I188">
        <v>0.1</v>
      </c>
      <c r="J188">
        <v>16223.5</v>
      </c>
      <c r="K188">
        <v>268.91300000000001</v>
      </c>
      <c r="L188">
        <v>246.4</v>
      </c>
      <c r="M188">
        <v>265.78699999999998</v>
      </c>
      <c r="N188">
        <v>16867.8</v>
      </c>
      <c r="O188">
        <v>71423</v>
      </c>
      <c r="P188">
        <v>612647</v>
      </c>
      <c r="Q188">
        <v>5.4</v>
      </c>
      <c r="R188">
        <v>81.2</v>
      </c>
      <c r="S188">
        <v>3.3387500000000001</v>
      </c>
      <c r="T188">
        <v>3.1360000000000001</v>
      </c>
    </row>
    <row r="189" spans="1:20" x14ac:dyDescent="0.2">
      <c r="A189" s="1">
        <v>44409</v>
      </c>
      <c r="B189">
        <v>1.7090000000000001</v>
      </c>
      <c r="C189">
        <v>3.536</v>
      </c>
      <c r="D189">
        <v>1.472</v>
      </c>
      <c r="E189">
        <v>3.56</v>
      </c>
      <c r="F189">
        <v>272.75200000000001</v>
      </c>
      <c r="G189">
        <v>220.803</v>
      </c>
      <c r="H189">
        <v>278.98500000000001</v>
      </c>
      <c r="I189">
        <v>0.09</v>
      </c>
      <c r="J189">
        <v>16390.599999999999</v>
      </c>
      <c r="K189">
        <v>274.55599999999998</v>
      </c>
      <c r="L189">
        <v>237.32900000000001</v>
      </c>
      <c r="M189">
        <v>260.7</v>
      </c>
      <c r="N189">
        <v>16832.400000000001</v>
      </c>
      <c r="O189">
        <v>68144</v>
      </c>
      <c r="P189">
        <v>616892</v>
      </c>
      <c r="Q189">
        <v>5.0999999999999996</v>
      </c>
      <c r="R189">
        <v>70.3</v>
      </c>
      <c r="S189">
        <v>3.35</v>
      </c>
      <c r="T189">
        <v>3.1577999999999999</v>
      </c>
    </row>
    <row r="190" spans="1:20" x14ac:dyDescent="0.2">
      <c r="A190" s="1">
        <v>44440</v>
      </c>
      <c r="B190">
        <v>1.835</v>
      </c>
      <c r="C190">
        <v>3.5169999999999999</v>
      </c>
      <c r="D190">
        <v>1.504</v>
      </c>
      <c r="E190">
        <v>3.585</v>
      </c>
      <c r="F190">
        <v>273.94200000000001</v>
      </c>
      <c r="G190">
        <v>223.303</v>
      </c>
      <c r="H190">
        <v>281.29899999999998</v>
      </c>
      <c r="I190">
        <v>0.08</v>
      </c>
      <c r="J190">
        <v>16477.5</v>
      </c>
      <c r="K190">
        <v>237.89599999999999</v>
      </c>
      <c r="L190">
        <v>218.268</v>
      </c>
      <c r="M190">
        <v>254.661</v>
      </c>
      <c r="N190">
        <v>16641.8</v>
      </c>
      <c r="O190">
        <v>64166</v>
      </c>
      <c r="P190">
        <v>620529</v>
      </c>
      <c r="Q190">
        <v>4.7</v>
      </c>
      <c r="R190">
        <v>72.8</v>
      </c>
      <c r="S190">
        <v>3.3839999999999999</v>
      </c>
      <c r="T190">
        <v>3.1749999999999998</v>
      </c>
    </row>
    <row r="191" spans="1:20" x14ac:dyDescent="0.2">
      <c r="A191" s="1">
        <v>44470</v>
      </c>
      <c r="B191">
        <v>1.821</v>
      </c>
      <c r="C191">
        <v>3.589</v>
      </c>
      <c r="D191">
        <v>1.5229999999999999</v>
      </c>
      <c r="E191">
        <v>3.6629999999999998</v>
      </c>
      <c r="F191">
        <v>276.52800000000002</v>
      </c>
      <c r="G191">
        <v>229.25899999999999</v>
      </c>
      <c r="H191">
        <v>283.97199999999998</v>
      </c>
      <c r="I191">
        <v>0.08</v>
      </c>
      <c r="J191">
        <v>16694</v>
      </c>
      <c r="K191">
        <v>225.495</v>
      </c>
      <c r="L191">
        <v>203.68799999999999</v>
      </c>
      <c r="M191">
        <v>247.26</v>
      </c>
      <c r="N191">
        <v>16648.099999999999</v>
      </c>
      <c r="O191">
        <v>67345</v>
      </c>
      <c r="P191">
        <v>630562</v>
      </c>
      <c r="Q191">
        <v>4.5</v>
      </c>
      <c r="R191">
        <v>71.7</v>
      </c>
      <c r="S191">
        <v>3.6117499999999998</v>
      </c>
      <c r="T191">
        <v>3.2905000000000002</v>
      </c>
    </row>
    <row r="192" spans="1:20" x14ac:dyDescent="0.2">
      <c r="A192" s="1">
        <v>44501</v>
      </c>
      <c r="B192">
        <v>1.718</v>
      </c>
      <c r="C192">
        <v>3.6179999999999999</v>
      </c>
      <c r="D192">
        <v>1.583</v>
      </c>
      <c r="E192">
        <v>3.6709999999999998</v>
      </c>
      <c r="F192">
        <v>278.82400000000001</v>
      </c>
      <c r="G192">
        <v>229.334</v>
      </c>
      <c r="H192">
        <v>286.05700000000002</v>
      </c>
      <c r="I192">
        <v>0.08</v>
      </c>
      <c r="J192">
        <v>16849</v>
      </c>
      <c r="K192">
        <v>231.84</v>
      </c>
      <c r="L192">
        <v>203.61500000000001</v>
      </c>
      <c r="M192">
        <v>247.65600000000001</v>
      </c>
      <c r="N192">
        <v>16598.3</v>
      </c>
      <c r="O192">
        <v>63282</v>
      </c>
      <c r="P192">
        <v>637775</v>
      </c>
      <c r="Q192">
        <v>4.2</v>
      </c>
      <c r="R192">
        <v>67.400000000000006</v>
      </c>
      <c r="S192">
        <v>3.7269999999999999</v>
      </c>
      <c r="T192">
        <v>3.3948</v>
      </c>
    </row>
    <row r="193" spans="1:20" x14ac:dyDescent="0.2">
      <c r="A193" s="1">
        <v>44531</v>
      </c>
      <c r="B193">
        <v>1.788</v>
      </c>
      <c r="C193">
        <v>3.7250000000000001</v>
      </c>
      <c r="D193">
        <v>1.6060000000000001</v>
      </c>
      <c r="E193">
        <v>3.7429999999999999</v>
      </c>
      <c r="F193">
        <v>280.80599999999998</v>
      </c>
      <c r="G193">
        <v>229.34200000000001</v>
      </c>
      <c r="H193">
        <v>287.798</v>
      </c>
      <c r="I193">
        <v>0.08</v>
      </c>
      <c r="J193">
        <v>16905.5</v>
      </c>
      <c r="K193">
        <v>241.476</v>
      </c>
      <c r="L193">
        <v>213.19</v>
      </c>
      <c r="M193">
        <v>252.11</v>
      </c>
      <c r="N193">
        <v>16525.400000000001</v>
      </c>
      <c r="O193">
        <v>67838</v>
      </c>
      <c r="P193">
        <v>632515</v>
      </c>
      <c r="Q193">
        <v>3.9</v>
      </c>
      <c r="R193">
        <v>70.599999999999994</v>
      </c>
      <c r="S193">
        <v>3.641</v>
      </c>
      <c r="T193">
        <v>3.3065000000000002</v>
      </c>
    </row>
    <row r="194" spans="1:20" x14ac:dyDescent="0.2">
      <c r="A194" s="1">
        <v>44562</v>
      </c>
      <c r="B194">
        <v>1.929</v>
      </c>
      <c r="C194">
        <v>3.726</v>
      </c>
      <c r="D194">
        <v>1.6220000000000001</v>
      </c>
      <c r="E194">
        <v>3.7869999999999999</v>
      </c>
      <c r="F194">
        <v>282.54199999999997</v>
      </c>
      <c r="G194">
        <v>234.75</v>
      </c>
      <c r="H194">
        <v>290.14400000000001</v>
      </c>
      <c r="I194">
        <v>0.08</v>
      </c>
      <c r="J194">
        <v>17017.8</v>
      </c>
      <c r="K194">
        <v>245.654</v>
      </c>
      <c r="L194">
        <v>235.20599999999999</v>
      </c>
      <c r="M194">
        <v>259.81</v>
      </c>
      <c r="N194">
        <v>16143.2</v>
      </c>
      <c r="O194">
        <v>60692</v>
      </c>
      <c r="P194">
        <v>644034</v>
      </c>
      <c r="Q194">
        <v>4</v>
      </c>
      <c r="R194">
        <v>67.2</v>
      </c>
      <c r="S194">
        <v>3.7242000000000002</v>
      </c>
      <c r="T194">
        <v>3.3146</v>
      </c>
    </row>
    <row r="195" spans="1:20" x14ac:dyDescent="0.2">
      <c r="A195" s="1">
        <v>44593</v>
      </c>
      <c r="B195">
        <v>2.0049999999999999</v>
      </c>
      <c r="C195">
        <v>3.8149999999999999</v>
      </c>
      <c r="D195">
        <v>1.6319999999999999</v>
      </c>
      <c r="E195">
        <v>3.875</v>
      </c>
      <c r="F195">
        <v>284.52499999999998</v>
      </c>
      <c r="G195">
        <v>235.21700000000001</v>
      </c>
      <c r="H195">
        <v>292.97800000000001</v>
      </c>
      <c r="I195">
        <v>0.08</v>
      </c>
      <c r="J195">
        <v>17136.099999999999</v>
      </c>
      <c r="K195">
        <v>249.85499999999999</v>
      </c>
      <c r="L195">
        <v>262.00400000000002</v>
      </c>
      <c r="M195">
        <v>269.70699999999999</v>
      </c>
      <c r="N195">
        <v>16143</v>
      </c>
      <c r="O195">
        <v>62392</v>
      </c>
      <c r="P195">
        <v>650522</v>
      </c>
      <c r="Q195">
        <v>3.8</v>
      </c>
      <c r="R195">
        <v>62.8</v>
      </c>
      <c r="S195">
        <v>4.0322500000000003</v>
      </c>
      <c r="T195">
        <v>3.5172500000000002</v>
      </c>
    </row>
    <row r="196" spans="1:20" x14ac:dyDescent="0.2">
      <c r="A196" s="1">
        <v>44621</v>
      </c>
      <c r="B196">
        <v>2.0459999999999998</v>
      </c>
      <c r="C196">
        <v>3.87</v>
      </c>
      <c r="D196">
        <v>1.724</v>
      </c>
      <c r="E196">
        <v>3.9169999999999998</v>
      </c>
      <c r="F196">
        <v>287.46699999999998</v>
      </c>
      <c r="G196">
        <v>239.559</v>
      </c>
      <c r="H196">
        <v>295.71300000000002</v>
      </c>
      <c r="I196">
        <v>0.2</v>
      </c>
      <c r="J196">
        <v>17371.400000000001</v>
      </c>
      <c r="K196">
        <v>292.38799999999998</v>
      </c>
      <c r="L196">
        <v>279.99099999999999</v>
      </c>
      <c r="M196">
        <v>283.52300000000002</v>
      </c>
      <c r="N196">
        <v>16065.5</v>
      </c>
      <c r="O196">
        <v>72505</v>
      </c>
      <c r="P196">
        <v>664167</v>
      </c>
      <c r="Q196">
        <v>3.7</v>
      </c>
      <c r="R196">
        <v>59.4</v>
      </c>
      <c r="S196">
        <v>5.1044999999999998</v>
      </c>
      <c r="T196">
        <v>4.2217500000000001</v>
      </c>
    </row>
    <row r="197" spans="1:20" x14ac:dyDescent="0.2">
      <c r="A197" s="1">
        <v>44652</v>
      </c>
      <c r="B197">
        <v>2.52</v>
      </c>
      <c r="C197">
        <v>4.0960000000000001</v>
      </c>
      <c r="D197">
        <v>1.794</v>
      </c>
      <c r="E197">
        <v>4.0119999999999996</v>
      </c>
      <c r="F197">
        <v>288.58199999999999</v>
      </c>
      <c r="G197">
        <v>244.322</v>
      </c>
      <c r="H197">
        <v>298.363</v>
      </c>
      <c r="I197">
        <v>0.33</v>
      </c>
      <c r="J197">
        <v>17493.8</v>
      </c>
      <c r="K197">
        <v>298.65300000000002</v>
      </c>
      <c r="L197">
        <v>285.64999999999998</v>
      </c>
      <c r="M197">
        <v>292.50700000000001</v>
      </c>
      <c r="N197">
        <v>16063.7</v>
      </c>
      <c r="O197">
        <v>73758</v>
      </c>
      <c r="P197">
        <v>673245</v>
      </c>
      <c r="Q197">
        <v>3.7</v>
      </c>
      <c r="R197">
        <v>65.2</v>
      </c>
      <c r="S197">
        <v>5.1195000000000004</v>
      </c>
      <c r="T197">
        <v>4.1085000000000003</v>
      </c>
    </row>
    <row r="198" spans="1:20" x14ac:dyDescent="0.2">
      <c r="A198" s="1">
        <v>44682</v>
      </c>
      <c r="B198">
        <v>2.863</v>
      </c>
      <c r="C198">
        <v>4.3099999999999996</v>
      </c>
      <c r="D198">
        <v>1.8240000000000001</v>
      </c>
      <c r="E198">
        <v>4.2039999999999997</v>
      </c>
      <c r="F198">
        <v>291.29899999999998</v>
      </c>
      <c r="G198">
        <v>251.56100000000001</v>
      </c>
      <c r="H198">
        <v>301.68400000000003</v>
      </c>
      <c r="I198">
        <v>0.77</v>
      </c>
      <c r="J198">
        <v>17569.900000000001</v>
      </c>
      <c r="K198">
        <v>300.73500000000001</v>
      </c>
      <c r="L198">
        <v>276.166</v>
      </c>
      <c r="M198">
        <v>299.54399999999998</v>
      </c>
      <c r="N198">
        <v>16049.1</v>
      </c>
      <c r="O198">
        <v>76988</v>
      </c>
      <c r="P198">
        <v>671040</v>
      </c>
      <c r="Q198">
        <v>3.6</v>
      </c>
      <c r="R198">
        <v>58.4</v>
      </c>
      <c r="S198">
        <v>5.5709999999999997</v>
      </c>
      <c r="T198">
        <v>4.4436</v>
      </c>
    </row>
    <row r="199" spans="1:20" x14ac:dyDescent="0.2">
      <c r="A199" s="1">
        <v>44713</v>
      </c>
      <c r="B199">
        <v>2.7069999999999999</v>
      </c>
      <c r="C199">
        <v>4.5679999999999996</v>
      </c>
      <c r="D199">
        <v>1.8260000000000001</v>
      </c>
      <c r="E199">
        <v>4.1529999999999996</v>
      </c>
      <c r="F199">
        <v>295.072</v>
      </c>
      <c r="G199">
        <v>259.55099999999999</v>
      </c>
      <c r="H199">
        <v>304.84500000000003</v>
      </c>
      <c r="I199">
        <v>1.21</v>
      </c>
      <c r="J199">
        <v>17747.599999999999</v>
      </c>
      <c r="K199">
        <v>304.83600000000001</v>
      </c>
      <c r="L199">
        <v>291.85599999999999</v>
      </c>
      <c r="M199">
        <v>302.875</v>
      </c>
      <c r="N199">
        <v>16015.9</v>
      </c>
      <c r="O199">
        <v>75107</v>
      </c>
      <c r="P199">
        <v>675702</v>
      </c>
      <c r="Q199">
        <v>3.6</v>
      </c>
      <c r="R199">
        <v>50</v>
      </c>
      <c r="S199">
        <v>5.7534999999999998</v>
      </c>
      <c r="T199">
        <v>4.9290000000000003</v>
      </c>
    </row>
    <row r="200" spans="1:20" x14ac:dyDescent="0.2">
      <c r="A200" s="1">
        <v>44743</v>
      </c>
      <c r="B200">
        <v>2.9359999999999999</v>
      </c>
      <c r="C200">
        <v>4.6079999999999997</v>
      </c>
      <c r="D200">
        <v>1.88</v>
      </c>
      <c r="E200">
        <v>4.1559999999999997</v>
      </c>
      <c r="F200">
        <v>294.94</v>
      </c>
      <c r="G200">
        <v>260.04700000000003</v>
      </c>
      <c r="H200">
        <v>308.08300000000003</v>
      </c>
      <c r="I200">
        <v>1.68</v>
      </c>
      <c r="J200">
        <v>17744</v>
      </c>
      <c r="K200">
        <v>294.79700000000003</v>
      </c>
      <c r="L200">
        <v>258.69799999999998</v>
      </c>
      <c r="M200">
        <v>306.26900000000001</v>
      </c>
      <c r="N200">
        <v>16219.1</v>
      </c>
      <c r="O200">
        <v>77388</v>
      </c>
      <c r="P200">
        <v>671067</v>
      </c>
      <c r="Q200">
        <v>3.5</v>
      </c>
      <c r="R200">
        <v>51.5</v>
      </c>
      <c r="S200">
        <v>5.4857500000000003</v>
      </c>
      <c r="T200">
        <v>4.5592499999999996</v>
      </c>
    </row>
    <row r="201" spans="1:20" x14ac:dyDescent="0.2">
      <c r="A201" s="1">
        <v>44774</v>
      </c>
      <c r="B201">
        <v>3.1160000000000001</v>
      </c>
      <c r="C201">
        <v>4.7060000000000004</v>
      </c>
      <c r="D201">
        <v>1.879</v>
      </c>
      <c r="E201">
        <v>4.194</v>
      </c>
      <c r="F201">
        <v>295.16199999999998</v>
      </c>
      <c r="G201">
        <v>265.11700000000002</v>
      </c>
      <c r="H201">
        <v>310.73899999999998</v>
      </c>
      <c r="I201">
        <v>2.33</v>
      </c>
      <c r="J201">
        <v>17897.5</v>
      </c>
      <c r="K201">
        <v>301.20299999999997</v>
      </c>
      <c r="L201">
        <v>259.50400000000002</v>
      </c>
      <c r="M201">
        <v>306.733</v>
      </c>
      <c r="N201">
        <v>16314.4</v>
      </c>
      <c r="O201">
        <v>76607</v>
      </c>
      <c r="P201">
        <v>675107</v>
      </c>
      <c r="Q201">
        <v>3.6</v>
      </c>
      <c r="R201">
        <v>58.2</v>
      </c>
      <c r="S201">
        <v>5.0132000000000003</v>
      </c>
      <c r="T201">
        <v>3.9750000000000001</v>
      </c>
    </row>
    <row r="202" spans="1:20" x14ac:dyDescent="0.2">
      <c r="A202" s="1">
        <v>44805</v>
      </c>
      <c r="B202">
        <v>2.9020000000000001</v>
      </c>
      <c r="C202">
        <v>4.7460000000000004</v>
      </c>
      <c r="D202">
        <v>1.891</v>
      </c>
      <c r="E202">
        <v>4.181</v>
      </c>
      <c r="F202">
        <v>296.42099999999999</v>
      </c>
      <c r="G202">
        <v>267.76499999999999</v>
      </c>
      <c r="H202">
        <v>312.83499999999998</v>
      </c>
      <c r="I202">
        <v>2.56</v>
      </c>
      <c r="J202">
        <v>17987.2</v>
      </c>
      <c r="K202">
        <v>325.47399999999999</v>
      </c>
      <c r="L202">
        <v>259.93299999999999</v>
      </c>
      <c r="M202">
        <v>308.57499999999999</v>
      </c>
      <c r="N202">
        <v>16372.3</v>
      </c>
      <c r="O202">
        <v>72982</v>
      </c>
      <c r="P202">
        <v>673312</v>
      </c>
      <c r="Q202">
        <v>3.5</v>
      </c>
      <c r="R202">
        <v>58.6</v>
      </c>
      <c r="S202">
        <v>4.9924999999999997</v>
      </c>
      <c r="T202">
        <v>3.70025</v>
      </c>
    </row>
    <row r="203" spans="1:20" x14ac:dyDescent="0.2">
      <c r="A203" s="1">
        <v>44835</v>
      </c>
      <c r="B203">
        <v>3.419</v>
      </c>
      <c r="C203">
        <v>4.67</v>
      </c>
      <c r="D203">
        <v>1.863</v>
      </c>
      <c r="E203">
        <v>4.1840000000000002</v>
      </c>
      <c r="F203">
        <v>297.97899999999998</v>
      </c>
      <c r="G203">
        <v>265.06900000000002</v>
      </c>
      <c r="H203">
        <v>315.02300000000002</v>
      </c>
      <c r="I203">
        <v>3.08</v>
      </c>
      <c r="J203">
        <v>18096.2</v>
      </c>
      <c r="K203">
        <v>302.774</v>
      </c>
      <c r="L203">
        <v>233.422</v>
      </c>
      <c r="M203">
        <v>298.74200000000002</v>
      </c>
      <c r="N203">
        <v>16424.3</v>
      </c>
      <c r="O203">
        <v>75597</v>
      </c>
      <c r="P203">
        <v>681748</v>
      </c>
      <c r="Q203">
        <v>3.6</v>
      </c>
      <c r="R203">
        <v>59.9</v>
      </c>
      <c r="S203">
        <v>5.2114000000000003</v>
      </c>
      <c r="T203">
        <v>3.8151999999999999</v>
      </c>
    </row>
    <row r="204" spans="1:20" x14ac:dyDescent="0.2">
      <c r="A204" s="1">
        <v>44866</v>
      </c>
      <c r="B204">
        <v>3.589</v>
      </c>
      <c r="C204">
        <v>4.42</v>
      </c>
      <c r="D204">
        <v>1.843</v>
      </c>
      <c r="E204">
        <v>4.218</v>
      </c>
      <c r="F204">
        <v>298.70800000000003</v>
      </c>
      <c r="G204">
        <v>261.68200000000002</v>
      </c>
      <c r="H204">
        <v>316.5</v>
      </c>
      <c r="I204">
        <v>3.78</v>
      </c>
      <c r="J204">
        <v>18094</v>
      </c>
      <c r="K204">
        <v>287.62700000000001</v>
      </c>
      <c r="L204">
        <v>252.096</v>
      </c>
      <c r="M204">
        <v>296.41699999999997</v>
      </c>
      <c r="N204">
        <v>16436.5</v>
      </c>
      <c r="O204">
        <v>70270</v>
      </c>
      <c r="P204">
        <v>673674</v>
      </c>
      <c r="Q204">
        <v>3.6</v>
      </c>
      <c r="R204">
        <v>56.7</v>
      </c>
      <c r="S204">
        <v>5.2549999999999999</v>
      </c>
      <c r="T204">
        <v>3.6850000000000001</v>
      </c>
    </row>
    <row r="205" spans="1:20" x14ac:dyDescent="0.2">
      <c r="A205" s="1">
        <v>44896</v>
      </c>
      <c r="B205">
        <v>4.25</v>
      </c>
      <c r="C205">
        <v>4.3479999999999999</v>
      </c>
      <c r="D205">
        <v>1.83</v>
      </c>
      <c r="E205">
        <v>4.2110000000000003</v>
      </c>
      <c r="F205">
        <v>298.80799999999999</v>
      </c>
      <c r="G205">
        <v>265.07900000000001</v>
      </c>
      <c r="H205">
        <v>317.798</v>
      </c>
      <c r="I205">
        <v>4.0999999999999996</v>
      </c>
      <c r="J205">
        <v>18134.599999999999</v>
      </c>
      <c r="K205">
        <v>275.18700000000001</v>
      </c>
      <c r="L205">
        <v>256.53300000000002</v>
      </c>
      <c r="M205">
        <v>295.08999999999997</v>
      </c>
      <c r="N205">
        <v>16497.5</v>
      </c>
      <c r="O205">
        <v>76870</v>
      </c>
      <c r="P205">
        <v>666734</v>
      </c>
      <c r="Q205">
        <v>3.5</v>
      </c>
      <c r="R205">
        <v>59.8</v>
      </c>
      <c r="S205">
        <v>4.7134999999999998</v>
      </c>
      <c r="T205">
        <v>3.21</v>
      </c>
    </row>
    <row r="206" spans="1:20" x14ac:dyDescent="0.2">
      <c r="A206" s="1">
        <v>44927</v>
      </c>
      <c r="B206">
        <v>4.8230000000000004</v>
      </c>
      <c r="C206">
        <v>4.3150000000000004</v>
      </c>
      <c r="D206">
        <v>1.855</v>
      </c>
      <c r="E206">
        <v>4.2039999999999997</v>
      </c>
      <c r="F206">
        <v>300.45600000000002</v>
      </c>
      <c r="G206">
        <v>270.90899999999999</v>
      </c>
      <c r="H206">
        <v>319.42099999999999</v>
      </c>
      <c r="I206">
        <v>4.33</v>
      </c>
      <c r="J206">
        <v>18475.2</v>
      </c>
      <c r="K206">
        <v>274.714</v>
      </c>
      <c r="L206">
        <v>253.042</v>
      </c>
      <c r="M206">
        <v>296.13</v>
      </c>
      <c r="N206">
        <v>16808.5</v>
      </c>
      <c r="O206">
        <v>73657</v>
      </c>
      <c r="P206">
        <v>693826</v>
      </c>
      <c r="Q206">
        <v>3.5</v>
      </c>
      <c r="R206">
        <v>64.900000000000006</v>
      </c>
      <c r="S206">
        <v>4.5763999999999996</v>
      </c>
      <c r="T206">
        <v>3.3391999999999999</v>
      </c>
    </row>
    <row r="207" spans="1:20" x14ac:dyDescent="0.2">
      <c r="A207" s="1">
        <v>44958</v>
      </c>
      <c r="B207">
        <v>4.2110000000000003</v>
      </c>
      <c r="C207">
        <v>4.3650000000000002</v>
      </c>
      <c r="D207">
        <v>1.8939999999999999</v>
      </c>
      <c r="E207">
        <v>4.1630000000000003</v>
      </c>
      <c r="F207">
        <v>301.476</v>
      </c>
      <c r="G207">
        <v>266.26100000000002</v>
      </c>
      <c r="H207">
        <v>320.65100000000001</v>
      </c>
      <c r="I207">
        <v>4.57</v>
      </c>
      <c r="J207">
        <v>18532.099999999999</v>
      </c>
      <c r="K207">
        <v>274.86500000000001</v>
      </c>
      <c r="L207">
        <v>264.51</v>
      </c>
      <c r="M207">
        <v>301.28199999999998</v>
      </c>
      <c r="N207">
        <v>16879.099999999999</v>
      </c>
      <c r="O207">
        <v>71544</v>
      </c>
      <c r="P207">
        <v>686434</v>
      </c>
      <c r="Q207">
        <v>3.6</v>
      </c>
      <c r="R207">
        <v>66.900000000000006</v>
      </c>
      <c r="S207">
        <v>4.4132499999999997</v>
      </c>
      <c r="T207">
        <v>3.3887499999999999</v>
      </c>
    </row>
    <row r="208" spans="1:20" x14ac:dyDescent="0.2">
      <c r="A208" s="1">
        <v>44986</v>
      </c>
      <c r="B208">
        <v>3.4460000000000002</v>
      </c>
      <c r="C208">
        <v>4.3239999999999998</v>
      </c>
      <c r="D208">
        <v>1.8680000000000001</v>
      </c>
      <c r="E208">
        <v>4.0979999999999999</v>
      </c>
      <c r="F208">
        <v>301.64299999999997</v>
      </c>
      <c r="G208">
        <v>261.15699999999998</v>
      </c>
      <c r="H208">
        <v>320.79700000000003</v>
      </c>
      <c r="I208">
        <v>4.6500000000000004</v>
      </c>
      <c r="J208">
        <v>18511.3</v>
      </c>
      <c r="K208">
        <v>258.05700000000002</v>
      </c>
      <c r="L208">
        <v>256.26400000000001</v>
      </c>
      <c r="M208">
        <v>300.77100000000002</v>
      </c>
      <c r="N208">
        <v>16968</v>
      </c>
      <c r="O208">
        <v>81606</v>
      </c>
      <c r="P208">
        <v>679067</v>
      </c>
      <c r="Q208">
        <v>3.5</v>
      </c>
      <c r="R208">
        <v>62</v>
      </c>
      <c r="S208">
        <v>4.2104999999999997</v>
      </c>
      <c r="T208">
        <v>3.4220000000000002</v>
      </c>
    </row>
    <row r="209" spans="1:20" x14ac:dyDescent="0.2">
      <c r="A209" s="1">
        <v>45017</v>
      </c>
      <c r="B209">
        <v>3.27</v>
      </c>
      <c r="C209">
        <v>4.4050000000000002</v>
      </c>
      <c r="D209">
        <v>1.873</v>
      </c>
      <c r="E209">
        <v>4.0419999999999998</v>
      </c>
      <c r="F209">
        <v>302.858</v>
      </c>
      <c r="G209">
        <v>258.72699999999998</v>
      </c>
      <c r="H209">
        <v>321.209</v>
      </c>
      <c r="I209">
        <v>4.83</v>
      </c>
      <c r="J209">
        <v>18638.7</v>
      </c>
      <c r="K209">
        <v>261.19099999999997</v>
      </c>
      <c r="L209">
        <v>257.33100000000002</v>
      </c>
      <c r="M209">
        <v>299.28800000000001</v>
      </c>
      <c r="N209">
        <v>16983.3</v>
      </c>
      <c r="O209">
        <v>79214</v>
      </c>
      <c r="P209">
        <v>683698</v>
      </c>
      <c r="Q209">
        <v>3.4</v>
      </c>
      <c r="R209">
        <v>63.7</v>
      </c>
      <c r="S209">
        <v>4.0990000000000002</v>
      </c>
      <c r="T209">
        <v>3.6030000000000002</v>
      </c>
    </row>
    <row r="210" spans="1:20" x14ac:dyDescent="0.2">
      <c r="A210" s="1">
        <v>45047</v>
      </c>
      <c r="B210">
        <v>2.6659999999999999</v>
      </c>
      <c r="C210">
        <v>4.2359999999999998</v>
      </c>
      <c r="D210">
        <v>1.92</v>
      </c>
      <c r="E210">
        <v>4.0419999999999998</v>
      </c>
      <c r="F210">
        <v>303.31599999999997</v>
      </c>
      <c r="G210">
        <v>255.63200000000001</v>
      </c>
      <c r="H210">
        <v>321.93299999999999</v>
      </c>
      <c r="I210">
        <v>5.0599999999999996</v>
      </c>
      <c r="J210">
        <v>18676.400000000001</v>
      </c>
      <c r="K210">
        <v>246.79</v>
      </c>
      <c r="L210">
        <v>245.881</v>
      </c>
      <c r="M210">
        <v>291.77300000000002</v>
      </c>
      <c r="N210">
        <v>17041.900000000001</v>
      </c>
      <c r="O210">
        <v>83589</v>
      </c>
      <c r="P210">
        <v>686672</v>
      </c>
      <c r="Q210">
        <v>3.6</v>
      </c>
      <c r="R210">
        <v>59</v>
      </c>
      <c r="S210">
        <v>3.915</v>
      </c>
      <c r="T210">
        <v>3.5548000000000002</v>
      </c>
    </row>
    <row r="211" spans="1:20" x14ac:dyDescent="0.2">
      <c r="A211" s="1">
        <v>45078</v>
      </c>
      <c r="B211">
        <v>2.2189999999999999</v>
      </c>
      <c r="C211">
        <v>4.1929999999999996</v>
      </c>
      <c r="D211">
        <v>1.9530000000000001</v>
      </c>
      <c r="E211">
        <v>3.9849999999999999</v>
      </c>
      <c r="F211">
        <v>304.09899999999999</v>
      </c>
      <c r="G211">
        <v>256.79300000000001</v>
      </c>
      <c r="H211">
        <v>322.40600000000001</v>
      </c>
      <c r="I211">
        <v>5.08</v>
      </c>
      <c r="J211">
        <v>18742.099999999999</v>
      </c>
      <c r="K211">
        <v>247.619</v>
      </c>
      <c r="L211">
        <v>233.45099999999999</v>
      </c>
      <c r="M211">
        <v>283.959</v>
      </c>
      <c r="N211">
        <v>17050.3</v>
      </c>
      <c r="O211">
        <v>83110</v>
      </c>
      <c r="P211">
        <v>688810</v>
      </c>
      <c r="Q211">
        <v>3.6</v>
      </c>
      <c r="R211">
        <v>64.2</v>
      </c>
      <c r="S211">
        <v>3.8017500000000002</v>
      </c>
      <c r="T211">
        <v>3.5710000000000002</v>
      </c>
    </row>
    <row r="212" spans="1:20" x14ac:dyDescent="0.2">
      <c r="A212" s="1">
        <v>45108</v>
      </c>
      <c r="B212">
        <v>2.0939999999999999</v>
      </c>
      <c r="C212">
        <v>4.141</v>
      </c>
      <c r="D212">
        <v>1.891</v>
      </c>
      <c r="E212">
        <v>3.9710000000000001</v>
      </c>
      <c r="F212">
        <v>304.61500000000001</v>
      </c>
      <c r="G212">
        <v>257.04700000000003</v>
      </c>
      <c r="H212">
        <v>323.04599999999999</v>
      </c>
      <c r="I212">
        <v>5.12</v>
      </c>
      <c r="J212">
        <v>18850.5</v>
      </c>
      <c r="K212">
        <v>230.23699999999999</v>
      </c>
      <c r="L212">
        <v>253.15600000000001</v>
      </c>
      <c r="M212">
        <v>282.06099999999998</v>
      </c>
      <c r="N212">
        <v>17061.599999999999</v>
      </c>
      <c r="O212">
        <v>84722</v>
      </c>
      <c r="P212">
        <v>690641</v>
      </c>
      <c r="Q212">
        <v>3.5</v>
      </c>
      <c r="R212">
        <v>71.5</v>
      </c>
      <c r="S212">
        <v>3.8822000000000001</v>
      </c>
      <c r="T212">
        <v>3.597</v>
      </c>
    </row>
    <row r="213" spans="1:20" x14ac:dyDescent="0.2">
      <c r="A213" s="1">
        <v>45139</v>
      </c>
      <c r="B213">
        <v>2.0430000000000001</v>
      </c>
      <c r="C213">
        <v>4.1790000000000003</v>
      </c>
      <c r="D213">
        <v>1.958</v>
      </c>
      <c r="E213">
        <v>3.927</v>
      </c>
      <c r="F213">
        <v>306.13799999999998</v>
      </c>
      <c r="G213">
        <v>258.04599999999999</v>
      </c>
      <c r="H213">
        <v>323.95699999999999</v>
      </c>
      <c r="I213">
        <v>5.33</v>
      </c>
      <c r="J213">
        <v>18911.599999999999</v>
      </c>
      <c r="K213">
        <v>223.07599999999999</v>
      </c>
      <c r="L213">
        <v>229.81700000000001</v>
      </c>
      <c r="M213">
        <v>273.803</v>
      </c>
      <c r="N213">
        <v>17085.8</v>
      </c>
      <c r="O213">
        <v>82883</v>
      </c>
      <c r="P213">
        <v>696238</v>
      </c>
      <c r="Q213">
        <v>3.7</v>
      </c>
      <c r="R213">
        <v>69.400000000000006</v>
      </c>
      <c r="S213">
        <v>4.3702500000000004</v>
      </c>
      <c r="T213">
        <v>3.83975</v>
      </c>
    </row>
    <row r="214" spans="1:20" x14ac:dyDescent="0.2">
      <c r="A214" s="1">
        <v>45170</v>
      </c>
      <c r="B214">
        <v>2.0649999999999999</v>
      </c>
      <c r="C214">
        <v>4.2290000000000001</v>
      </c>
      <c r="D214">
        <v>1.901</v>
      </c>
      <c r="E214">
        <v>3.9649999999999999</v>
      </c>
      <c r="F214">
        <v>307.37400000000002</v>
      </c>
      <c r="G214">
        <v>258.78800000000001</v>
      </c>
      <c r="H214">
        <v>324.33199999999999</v>
      </c>
      <c r="I214">
        <v>5.33</v>
      </c>
      <c r="J214">
        <v>19024.900000000001</v>
      </c>
      <c r="K214">
        <v>209.15700000000001</v>
      </c>
      <c r="L214">
        <v>227.60300000000001</v>
      </c>
      <c r="M214">
        <v>269.13099999999997</v>
      </c>
      <c r="N214">
        <v>17101.099999999999</v>
      </c>
      <c r="O214">
        <v>79997</v>
      </c>
      <c r="P214">
        <v>702109</v>
      </c>
      <c r="Q214">
        <v>3.8</v>
      </c>
      <c r="R214">
        <v>67.8</v>
      </c>
      <c r="S214">
        <v>4.5627500000000003</v>
      </c>
      <c r="T214">
        <v>3.8359999999999999</v>
      </c>
    </row>
    <row r="215" spans="1:20" x14ac:dyDescent="0.2">
      <c r="A215" s="1">
        <v>45200</v>
      </c>
      <c r="B215">
        <v>2.0720000000000001</v>
      </c>
      <c r="C215">
        <v>4.2220000000000004</v>
      </c>
      <c r="D215">
        <v>1.9259999999999999</v>
      </c>
      <c r="E215">
        <v>3.927</v>
      </c>
      <c r="F215">
        <v>307.65300000000002</v>
      </c>
      <c r="G215">
        <v>259.10599999999999</v>
      </c>
      <c r="H215">
        <v>325.42399999999998</v>
      </c>
      <c r="I215">
        <v>5.33</v>
      </c>
      <c r="J215">
        <v>19069.5</v>
      </c>
      <c r="K215">
        <v>203.756</v>
      </c>
      <c r="L215">
        <v>213.15299999999999</v>
      </c>
      <c r="M215">
        <v>258.43799999999999</v>
      </c>
      <c r="N215">
        <v>17152.8</v>
      </c>
      <c r="O215">
        <v>81092</v>
      </c>
      <c r="P215">
        <v>699365</v>
      </c>
      <c r="Q215">
        <v>3.9</v>
      </c>
      <c r="R215">
        <v>63.8</v>
      </c>
      <c r="S215">
        <v>4.5068000000000001</v>
      </c>
      <c r="T215">
        <v>3.6128</v>
      </c>
    </row>
    <row r="216" spans="1:20" x14ac:dyDescent="0.2">
      <c r="A216" s="1">
        <v>45231</v>
      </c>
      <c r="B216">
        <v>2.1379999999999999</v>
      </c>
      <c r="C216">
        <v>4.0599999999999996</v>
      </c>
      <c r="D216">
        <v>1.976</v>
      </c>
      <c r="E216">
        <v>3.9969999999999999</v>
      </c>
      <c r="F216">
        <v>308.08699999999999</v>
      </c>
      <c r="G216">
        <v>261.89999999999998</v>
      </c>
      <c r="H216">
        <v>325.80799999999999</v>
      </c>
      <c r="I216">
        <v>5.33</v>
      </c>
      <c r="J216">
        <v>19151</v>
      </c>
      <c r="K216">
        <v>193.34700000000001</v>
      </c>
      <c r="L216">
        <v>232.57900000000001</v>
      </c>
      <c r="M216">
        <v>260.10399999999998</v>
      </c>
      <c r="N216">
        <v>17229.400000000001</v>
      </c>
      <c r="O216">
        <v>77771</v>
      </c>
      <c r="P216">
        <v>697167</v>
      </c>
      <c r="Q216">
        <v>3.7</v>
      </c>
      <c r="R216">
        <v>61.3</v>
      </c>
      <c r="S216">
        <v>4.2537500000000001</v>
      </c>
      <c r="T216">
        <v>3.3180000000000001</v>
      </c>
    </row>
    <row r="217" spans="1:20" x14ac:dyDescent="0.2">
      <c r="A217" s="1">
        <v>45261</v>
      </c>
      <c r="B217">
        <v>2.5070000000000001</v>
      </c>
      <c r="C217">
        <v>4.0819999999999999</v>
      </c>
      <c r="D217">
        <v>1.9550000000000001</v>
      </c>
      <c r="E217">
        <v>4.008</v>
      </c>
      <c r="F217">
        <v>308.73500000000001</v>
      </c>
      <c r="G217">
        <v>262.70600000000002</v>
      </c>
      <c r="H217">
        <v>326.44200000000001</v>
      </c>
      <c r="I217">
        <v>5.33</v>
      </c>
      <c r="J217">
        <v>19289.900000000001</v>
      </c>
      <c r="K217">
        <v>188.46600000000001</v>
      </c>
      <c r="L217">
        <v>223.43600000000001</v>
      </c>
      <c r="M217">
        <v>255.69300000000001</v>
      </c>
      <c r="N217">
        <v>17267.400000000001</v>
      </c>
      <c r="O217">
        <v>85933</v>
      </c>
      <c r="P217">
        <v>699821</v>
      </c>
      <c r="Q217">
        <v>3.8</v>
      </c>
      <c r="R217">
        <v>69.7</v>
      </c>
      <c r="S217">
        <v>3.9717500000000001</v>
      </c>
      <c r="T217">
        <v>3.1339999999999999</v>
      </c>
    </row>
    <row r="218" spans="1:20" x14ac:dyDescent="0.2">
      <c r="A218" s="1">
        <v>45292</v>
      </c>
      <c r="B218">
        <v>2.5219999999999998</v>
      </c>
      <c r="C218">
        <v>4.0860000000000003</v>
      </c>
      <c r="D218">
        <v>1.9870000000000001</v>
      </c>
      <c r="E218">
        <v>3.9580000000000002</v>
      </c>
      <c r="F218">
        <v>309.79399999999998</v>
      </c>
      <c r="G218">
        <v>265.58499999999998</v>
      </c>
      <c r="H218">
        <v>327.57499999999999</v>
      </c>
      <c r="I218">
        <v>5.33</v>
      </c>
      <c r="J218">
        <v>19308.5</v>
      </c>
      <c r="K218">
        <v>179.995</v>
      </c>
      <c r="L218">
        <v>209.43100000000001</v>
      </c>
      <c r="M218">
        <v>249.64099999999999</v>
      </c>
      <c r="N218">
        <v>17426.2</v>
      </c>
      <c r="O218">
        <v>75848</v>
      </c>
      <c r="P218">
        <v>694696</v>
      </c>
      <c r="Q218">
        <v>3.7</v>
      </c>
      <c r="R218">
        <v>79</v>
      </c>
      <c r="S218">
        <v>3.8544</v>
      </c>
      <c r="T218">
        <v>3.0754000000000001</v>
      </c>
    </row>
    <row r="219" spans="1:20" x14ac:dyDescent="0.2">
      <c r="A219" s="1">
        <v>45323</v>
      </c>
      <c r="B219">
        <v>2.996</v>
      </c>
      <c r="C219">
        <v>4.1050000000000004</v>
      </c>
      <c r="D219">
        <v>1.9510000000000001</v>
      </c>
      <c r="E219">
        <v>3.94</v>
      </c>
      <c r="F219">
        <v>311.02199999999999</v>
      </c>
      <c r="G219">
        <v>267.37400000000002</v>
      </c>
      <c r="H219">
        <v>327.803</v>
      </c>
      <c r="I219">
        <v>5.33</v>
      </c>
      <c r="J219">
        <v>19412.7</v>
      </c>
      <c r="K219">
        <v>164.51300000000001</v>
      </c>
      <c r="L219">
        <v>199.84100000000001</v>
      </c>
      <c r="M219">
        <v>239.24199999999999</v>
      </c>
      <c r="N219">
        <v>17442.400000000001</v>
      </c>
      <c r="O219">
        <v>79515</v>
      </c>
      <c r="P219">
        <v>700519</v>
      </c>
      <c r="Q219">
        <v>3.9</v>
      </c>
      <c r="R219">
        <v>76.900000000000006</v>
      </c>
      <c r="S219">
        <v>4.0437500000000002</v>
      </c>
      <c r="T219">
        <v>3.2115</v>
      </c>
    </row>
    <row r="220" spans="1:20" x14ac:dyDescent="0.2">
      <c r="A220" s="1">
        <v>45352</v>
      </c>
      <c r="B220">
        <v>2.992</v>
      </c>
      <c r="C220">
        <v>4.1059999999999999</v>
      </c>
      <c r="D220">
        <v>1.9910000000000001</v>
      </c>
      <c r="E220">
        <v>3.8929999999999998</v>
      </c>
      <c r="F220">
        <v>312.10700000000003</v>
      </c>
      <c r="G220">
        <v>268.89499999999998</v>
      </c>
      <c r="H220">
        <v>328.00400000000002</v>
      </c>
      <c r="I220">
        <v>5.33</v>
      </c>
      <c r="J220">
        <v>19553.2</v>
      </c>
      <c r="K220">
        <v>171.59399999999999</v>
      </c>
      <c r="L220">
        <v>201.18799999999999</v>
      </c>
      <c r="M220">
        <v>232.666</v>
      </c>
      <c r="N220">
        <v>17486.900000000001</v>
      </c>
      <c r="O220">
        <v>87407</v>
      </c>
      <c r="P220">
        <v>703738</v>
      </c>
      <c r="Q220">
        <v>3.9</v>
      </c>
      <c r="R220">
        <v>79.400000000000006</v>
      </c>
      <c r="S220">
        <v>4.0220000000000002</v>
      </c>
      <c r="T220">
        <v>3.4255</v>
      </c>
    </row>
    <row r="221" spans="1:20" x14ac:dyDescent="0.2">
      <c r="A221" s="1">
        <v>45383</v>
      </c>
      <c r="B221">
        <v>2.8639999999999999</v>
      </c>
      <c r="C221">
        <v>4.0609999999999999</v>
      </c>
      <c r="D221">
        <v>1.9530000000000001</v>
      </c>
      <c r="E221">
        <v>3.8679999999999999</v>
      </c>
      <c r="F221">
        <v>313.01600000000002</v>
      </c>
      <c r="G221">
        <v>267.84800000000001</v>
      </c>
      <c r="H221">
        <v>328.41300000000001</v>
      </c>
      <c r="I221">
        <v>5.33</v>
      </c>
      <c r="J221">
        <v>19603.3</v>
      </c>
      <c r="K221">
        <v>164.023</v>
      </c>
      <c r="L221">
        <v>199.00399999999999</v>
      </c>
      <c r="M221">
        <v>230.774</v>
      </c>
      <c r="N221">
        <v>17464.900000000001</v>
      </c>
      <c r="O221">
        <v>83956</v>
      </c>
      <c r="P221">
        <v>702681</v>
      </c>
      <c r="Q221">
        <v>3.9</v>
      </c>
      <c r="R221">
        <v>77.2</v>
      </c>
      <c r="S221">
        <v>4.0022000000000002</v>
      </c>
      <c r="T221">
        <v>3.6114000000000002</v>
      </c>
    </row>
    <row r="222" spans="1:20" x14ac:dyDescent="0.2">
      <c r="A222" s="1">
        <v>45413</v>
      </c>
      <c r="B222">
        <v>2.6989999999999998</v>
      </c>
      <c r="C222">
        <v>4.1180000000000003</v>
      </c>
      <c r="D222">
        <v>2.0129999999999999</v>
      </c>
      <c r="E222">
        <v>3.8639999999999999</v>
      </c>
      <c r="F222">
        <v>313.14</v>
      </c>
      <c r="G222">
        <v>267.60000000000002</v>
      </c>
      <c r="H222">
        <v>328.86399999999998</v>
      </c>
      <c r="I222">
        <v>5.33</v>
      </c>
      <c r="J222">
        <v>19697.3</v>
      </c>
      <c r="K222">
        <v>175.41</v>
      </c>
      <c r="L222">
        <v>204.38300000000001</v>
      </c>
      <c r="M222">
        <v>233.49100000000001</v>
      </c>
      <c r="N222">
        <v>17511.099999999999</v>
      </c>
      <c r="O222">
        <v>89624</v>
      </c>
      <c r="P222">
        <v>704309</v>
      </c>
      <c r="Q222">
        <v>4</v>
      </c>
      <c r="R222">
        <v>69.099999999999994</v>
      </c>
      <c r="S222">
        <v>3.8222499999999999</v>
      </c>
      <c r="T222">
        <v>3.6030000000000002</v>
      </c>
    </row>
    <row r="223" spans="1:20" x14ac:dyDescent="0.2">
      <c r="A223" s="1">
        <v>45444</v>
      </c>
      <c r="B223">
        <v>2.7149999999999999</v>
      </c>
      <c r="C223">
        <v>4.0460000000000003</v>
      </c>
      <c r="D223">
        <v>2.0070000000000001</v>
      </c>
      <c r="E223">
        <v>3.956</v>
      </c>
      <c r="F223">
        <v>313.13099999999997</v>
      </c>
      <c r="G223">
        <v>267.83199999999999</v>
      </c>
      <c r="H223">
        <v>329.65100000000001</v>
      </c>
      <c r="I223">
        <v>5.33</v>
      </c>
      <c r="J223">
        <v>19747.5</v>
      </c>
      <c r="K223">
        <v>169.91399999999999</v>
      </c>
      <c r="L223">
        <v>199.709</v>
      </c>
      <c r="M223">
        <v>230.99600000000001</v>
      </c>
      <c r="N223">
        <v>17515.599999999999</v>
      </c>
      <c r="O223">
        <v>87201</v>
      </c>
      <c r="P223">
        <v>702350</v>
      </c>
      <c r="Q223">
        <v>4.0999999999999996</v>
      </c>
      <c r="R223">
        <v>68.2</v>
      </c>
      <c r="S223">
        <v>3.722</v>
      </c>
      <c r="T223">
        <v>3.4544999999999999</v>
      </c>
    </row>
    <row r="224" spans="1:20" x14ac:dyDescent="0.2">
      <c r="A224" s="1">
        <v>45474</v>
      </c>
      <c r="B224">
        <v>3.08</v>
      </c>
      <c r="C224">
        <v>3.9460000000000002</v>
      </c>
      <c r="D224">
        <v>1.988</v>
      </c>
      <c r="E224">
        <v>3.9830000000000001</v>
      </c>
      <c r="F224">
        <v>313.56599999999997</v>
      </c>
      <c r="G224">
        <v>267.85899999999998</v>
      </c>
      <c r="H224">
        <v>330.142</v>
      </c>
      <c r="I224">
        <v>5.33</v>
      </c>
      <c r="J224">
        <v>19866.3</v>
      </c>
      <c r="K224">
        <v>165.45500000000001</v>
      </c>
      <c r="L224">
        <v>192.755</v>
      </c>
      <c r="M224">
        <v>232.07300000000001</v>
      </c>
      <c r="N224">
        <v>17528.900000000001</v>
      </c>
      <c r="O224">
        <v>87472</v>
      </c>
      <c r="P224">
        <v>710851</v>
      </c>
      <c r="Q224">
        <v>4.2</v>
      </c>
      <c r="R224">
        <v>66.400000000000006</v>
      </c>
      <c r="S224">
        <v>3.8102</v>
      </c>
      <c r="T224">
        <v>3.4838</v>
      </c>
    </row>
    <row r="225" spans="1:20" x14ac:dyDescent="0.2">
      <c r="A225" s="1">
        <v>45505</v>
      </c>
      <c r="B225">
        <v>3.2040000000000002</v>
      </c>
      <c r="C225">
        <v>3.952</v>
      </c>
      <c r="D225">
        <v>1.988</v>
      </c>
      <c r="E225">
        <v>4.0439999999999996</v>
      </c>
      <c r="F225">
        <v>314.13099999999997</v>
      </c>
      <c r="G225">
        <v>266.06700000000001</v>
      </c>
      <c r="H225">
        <v>330.64400000000001</v>
      </c>
      <c r="I225">
        <v>5.33</v>
      </c>
      <c r="J225">
        <v>19905</v>
      </c>
      <c r="K225">
        <v>164.50700000000001</v>
      </c>
      <c r="L225">
        <v>168.70500000000001</v>
      </c>
      <c r="M225">
        <v>230.77099999999999</v>
      </c>
      <c r="N225">
        <v>17535.900000000001</v>
      </c>
      <c r="O225">
        <v>89063</v>
      </c>
      <c r="P225">
        <v>710038</v>
      </c>
      <c r="Q225">
        <v>4.2</v>
      </c>
      <c r="R225">
        <v>67.900000000000006</v>
      </c>
      <c r="S225">
        <v>3.6995</v>
      </c>
      <c r="T225">
        <v>3.3892500000000001</v>
      </c>
    </row>
    <row r="226" spans="1:20" x14ac:dyDescent="0.2">
      <c r="A226" s="1">
        <v>45536</v>
      </c>
      <c r="B226">
        <v>3.8210000000000002</v>
      </c>
      <c r="C226">
        <v>3.9740000000000002</v>
      </c>
      <c r="D226">
        <v>1.9790000000000001</v>
      </c>
      <c r="E226">
        <v>4.0209999999999999</v>
      </c>
      <c r="F226">
        <v>314.851</v>
      </c>
      <c r="G226">
        <v>267.58</v>
      </c>
      <c r="H226">
        <v>331.71600000000001</v>
      </c>
      <c r="I226">
        <v>5.13</v>
      </c>
      <c r="J226">
        <v>20044.099999999999</v>
      </c>
      <c r="K226">
        <v>170.24100000000001</v>
      </c>
      <c r="L226">
        <v>166.00399999999999</v>
      </c>
      <c r="M226">
        <v>228.19900000000001</v>
      </c>
      <c r="N226">
        <v>17569.8</v>
      </c>
      <c r="O226">
        <v>82318</v>
      </c>
      <c r="P226">
        <v>716388</v>
      </c>
      <c r="Q226">
        <v>4.0999999999999996</v>
      </c>
      <c r="R226">
        <v>70.099999999999994</v>
      </c>
      <c r="S226">
        <v>3.5577999999999999</v>
      </c>
      <c r="T226">
        <v>3.2138</v>
      </c>
    </row>
    <row r="227" spans="1:20" x14ac:dyDescent="0.2">
      <c r="A227" s="1">
        <v>45566</v>
      </c>
      <c r="B227">
        <v>3.37</v>
      </c>
      <c r="C227">
        <v>4.0369999999999999</v>
      </c>
      <c r="D227">
        <v>1.9870000000000001</v>
      </c>
      <c r="E227">
        <v>4.0410000000000004</v>
      </c>
      <c r="F227">
        <v>315.56400000000002</v>
      </c>
      <c r="G227">
        <v>269.52600000000001</v>
      </c>
      <c r="H227">
        <v>332.41800000000001</v>
      </c>
      <c r="I227">
        <v>4.83</v>
      </c>
      <c r="J227">
        <v>20134.5</v>
      </c>
      <c r="K227">
        <v>166.11600000000001</v>
      </c>
      <c r="L227">
        <v>165.82</v>
      </c>
      <c r="M227">
        <v>228.965</v>
      </c>
      <c r="N227">
        <v>17646.099999999999</v>
      </c>
      <c r="O227">
        <v>85793</v>
      </c>
      <c r="P227">
        <v>720393</v>
      </c>
      <c r="Q227">
        <v>4.0999999999999996</v>
      </c>
      <c r="R227">
        <v>70.5</v>
      </c>
      <c r="S227">
        <v>3.5852499999999998</v>
      </c>
      <c r="T227">
        <v>3.137</v>
      </c>
    </row>
    <row r="228" spans="1:20" x14ac:dyDescent="0.2">
      <c r="A228" s="1">
        <v>45597</v>
      </c>
      <c r="B228">
        <v>3.649</v>
      </c>
      <c r="C228">
        <v>4.0110000000000001</v>
      </c>
      <c r="D228">
        <v>2.0760000000000001</v>
      </c>
      <c r="E228">
        <v>4.1379999999999999</v>
      </c>
      <c r="F228">
        <v>316.44900000000001</v>
      </c>
      <c r="G228">
        <v>269.31799999999998</v>
      </c>
      <c r="H228">
        <v>333.49200000000002</v>
      </c>
      <c r="I228">
        <v>4.6399999999999997</v>
      </c>
      <c r="J228">
        <v>20253.599999999999</v>
      </c>
      <c r="K228">
        <v>175.20500000000001</v>
      </c>
      <c r="L228">
        <v>168.83099999999999</v>
      </c>
      <c r="M228">
        <v>226.27600000000001</v>
      </c>
      <c r="N228">
        <v>17668.900000000001</v>
      </c>
      <c r="O228">
        <v>83506</v>
      </c>
      <c r="P228">
        <v>725079</v>
      </c>
      <c r="Q228">
        <v>4.2</v>
      </c>
      <c r="R228">
        <v>71.8</v>
      </c>
      <c r="S228">
        <v>3.5217499999999999</v>
      </c>
      <c r="T228">
        <v>3.0527500000000001</v>
      </c>
    </row>
    <row r="229" spans="1:20" x14ac:dyDescent="0.2">
      <c r="A229" s="1">
        <v>45627</v>
      </c>
      <c r="B229">
        <v>4.1459999999999999</v>
      </c>
      <c r="C229">
        <v>4.1040000000000001</v>
      </c>
      <c r="D229">
        <v>2.0609999999999999</v>
      </c>
      <c r="E229">
        <v>4.101</v>
      </c>
      <c r="F229">
        <v>317.60300000000001</v>
      </c>
      <c r="G229">
        <v>271.34800000000001</v>
      </c>
      <c r="H229">
        <v>334.45600000000002</v>
      </c>
      <c r="I229">
        <v>4.4800000000000004</v>
      </c>
      <c r="J229">
        <v>20387.2</v>
      </c>
      <c r="K229">
        <v>177.12200000000001</v>
      </c>
      <c r="L229">
        <v>166.41900000000001</v>
      </c>
      <c r="M229">
        <v>227.816</v>
      </c>
      <c r="N229">
        <v>17687.7</v>
      </c>
      <c r="O229">
        <v>87013</v>
      </c>
      <c r="P229">
        <v>730300</v>
      </c>
      <c r="Q229">
        <v>4.0999999999999996</v>
      </c>
      <c r="R229">
        <v>74</v>
      </c>
      <c r="S229">
        <v>3.4942000000000002</v>
      </c>
      <c r="T229">
        <v>3.0175999999999998</v>
      </c>
    </row>
    <row r="230" spans="1:20" x14ac:dyDescent="0.2">
      <c r="A230" s="1">
        <v>45658</v>
      </c>
      <c r="B230">
        <v>4.9530000000000003</v>
      </c>
      <c r="C230">
        <v>3.9689999999999999</v>
      </c>
      <c r="D230">
        <v>2.0609999999999999</v>
      </c>
      <c r="E230">
        <v>4.0250000000000004</v>
      </c>
      <c r="F230">
        <v>319.08600000000001</v>
      </c>
      <c r="G230">
        <v>272.17899999999997</v>
      </c>
      <c r="H230">
        <v>335.67099999999999</v>
      </c>
      <c r="I230">
        <v>4.33</v>
      </c>
      <c r="J230">
        <v>20520.8</v>
      </c>
      <c r="K230">
        <v>184.97399999999999</v>
      </c>
      <c r="L230">
        <v>174.43</v>
      </c>
      <c r="M230">
        <v>229.203</v>
      </c>
      <c r="N230">
        <v>17706.5</v>
      </c>
      <c r="O230">
        <v>90520</v>
      </c>
      <c r="P230">
        <v>735521</v>
      </c>
      <c r="Q230">
        <v>4</v>
      </c>
      <c r="R230">
        <v>71.7</v>
      </c>
      <c r="S230">
        <v>3.6342500000000002</v>
      </c>
      <c r="T230">
        <v>3.0754999999999999</v>
      </c>
    </row>
    <row r="231" spans="1:20" x14ac:dyDescent="0.2">
      <c r="A231" s="1">
        <v>45689</v>
      </c>
      <c r="S231">
        <v>3.66733333333333</v>
      </c>
      <c r="T231">
        <v>3.11933333333333</v>
      </c>
    </row>
  </sheetData>
  <pageMargins left="0.7" right="0.7" top="0.75" bottom="0.75" header="0.3" footer="0.3"/>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B9B48-1CAC-BF43-9C49-008801B879B6}">
  <sheetPr codeName="Sheet1"/>
  <dimension ref="A1:T20"/>
  <sheetViews>
    <sheetView workbookViewId="0">
      <selection sqref="A1:T20"/>
    </sheetView>
  </sheetViews>
  <sheetFormatPr baseColWidth="10" defaultRowHeight="15" x14ac:dyDescent="0.2"/>
  <sheetData>
    <row r="1" spans="1:20" x14ac:dyDescent="0.2">
      <c r="A1" s="3"/>
      <c r="B1" s="3" t="s">
        <v>3</v>
      </c>
      <c r="C1" s="3" t="s">
        <v>1</v>
      </c>
      <c r="D1" s="3" t="s">
        <v>2</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row>
    <row r="2" spans="1:20" x14ac:dyDescent="0.2">
      <c r="A2" t="s">
        <v>3</v>
      </c>
      <c r="B2">
        <v>1</v>
      </c>
    </row>
    <row r="3" spans="1:20" x14ac:dyDescent="0.2">
      <c r="A3" t="s">
        <v>1</v>
      </c>
      <c r="B3">
        <v>0.74209372874837232</v>
      </c>
      <c r="C3">
        <v>1</v>
      </c>
    </row>
    <row r="4" spans="1:20" x14ac:dyDescent="0.2">
      <c r="A4" t="s">
        <v>2</v>
      </c>
      <c r="B4">
        <v>0.64527555890791555</v>
      </c>
      <c r="C4">
        <v>0.67096561264570265</v>
      </c>
      <c r="D4">
        <v>1</v>
      </c>
    </row>
    <row r="5" spans="1:20" x14ac:dyDescent="0.2">
      <c r="A5" t="s">
        <v>4</v>
      </c>
      <c r="B5">
        <v>0.69592891055480222</v>
      </c>
      <c r="C5">
        <v>0.80561452907766284</v>
      </c>
      <c r="D5">
        <v>0.54656646799752839</v>
      </c>
      <c r="E5">
        <v>1</v>
      </c>
    </row>
    <row r="6" spans="1:20" x14ac:dyDescent="0.2">
      <c r="A6" t="s">
        <v>5</v>
      </c>
      <c r="B6">
        <v>0.61616606955935349</v>
      </c>
      <c r="C6">
        <v>0.6720754192037881</v>
      </c>
      <c r="D6">
        <v>0.94561400932628215</v>
      </c>
      <c r="E6">
        <v>0.53831151523600729</v>
      </c>
      <c r="F6">
        <v>1</v>
      </c>
    </row>
    <row r="7" spans="1:20" x14ac:dyDescent="0.2">
      <c r="A7" t="s">
        <v>6</v>
      </c>
      <c r="B7">
        <v>0.74131938497187044</v>
      </c>
      <c r="C7">
        <v>0.84187201857440208</v>
      </c>
      <c r="D7">
        <v>0.87802830890138273</v>
      </c>
      <c r="E7">
        <v>0.70256608353198891</v>
      </c>
      <c r="F7">
        <v>0.93066506401697935</v>
      </c>
      <c r="G7">
        <v>1</v>
      </c>
    </row>
    <row r="8" spans="1:20" x14ac:dyDescent="0.2">
      <c r="A8" t="s">
        <v>7</v>
      </c>
      <c r="B8">
        <v>0.64081364293971377</v>
      </c>
      <c r="C8">
        <v>0.6849367435522824</v>
      </c>
      <c r="D8">
        <v>0.9615292684865252</v>
      </c>
      <c r="E8">
        <v>0.55307086566566865</v>
      </c>
      <c r="F8">
        <v>0.99581834073954112</v>
      </c>
      <c r="G8">
        <v>0.93047618236855645</v>
      </c>
      <c r="H8">
        <v>1</v>
      </c>
    </row>
    <row r="9" spans="1:20" x14ac:dyDescent="0.2">
      <c r="A9" t="s">
        <v>8</v>
      </c>
      <c r="B9">
        <v>0.29846032067717415</v>
      </c>
      <c r="C9">
        <v>0.43710756314352345</v>
      </c>
      <c r="D9">
        <v>0.15067747613983237</v>
      </c>
      <c r="E9">
        <v>0.25134441896242404</v>
      </c>
      <c r="F9">
        <v>0.27622296770916943</v>
      </c>
      <c r="G9">
        <v>0.41435639636349575</v>
      </c>
      <c r="H9">
        <v>0.24086591831278165</v>
      </c>
      <c r="I9">
        <v>1</v>
      </c>
    </row>
    <row r="10" spans="1:20" x14ac:dyDescent="0.2">
      <c r="A10" t="s">
        <v>9</v>
      </c>
      <c r="B10">
        <v>0.58781558541164947</v>
      </c>
      <c r="C10">
        <v>0.65211393121602768</v>
      </c>
      <c r="D10">
        <v>0.91827181678978942</v>
      </c>
      <c r="E10">
        <v>0.50228965666348968</v>
      </c>
      <c r="F10">
        <v>0.99368732022627959</v>
      </c>
      <c r="G10">
        <v>0.91989927248269754</v>
      </c>
      <c r="H10">
        <v>0.98455073013162464</v>
      </c>
      <c r="I10">
        <v>0.31687858939657376</v>
      </c>
      <c r="J10">
        <v>1</v>
      </c>
    </row>
    <row r="11" spans="1:20" x14ac:dyDescent="0.2">
      <c r="A11" t="s">
        <v>10</v>
      </c>
      <c r="B11">
        <v>0.35179983214521898</v>
      </c>
      <c r="C11">
        <v>0.40540934766320391</v>
      </c>
      <c r="D11">
        <v>0.30839266871718413</v>
      </c>
      <c r="E11">
        <v>0.56839800296480358</v>
      </c>
      <c r="F11">
        <v>0.3099782320257386</v>
      </c>
      <c r="G11">
        <v>0.33492182090966705</v>
      </c>
      <c r="H11">
        <v>0.31431543941140822</v>
      </c>
      <c r="I11">
        <v>-0.19971053075842268</v>
      </c>
      <c r="J11">
        <v>0.26079008516531982</v>
      </c>
      <c r="K11">
        <v>1</v>
      </c>
    </row>
    <row r="12" spans="1:20" x14ac:dyDescent="0.2">
      <c r="A12" t="s">
        <v>11</v>
      </c>
      <c r="B12">
        <v>0.36131901925872889</v>
      </c>
      <c r="C12">
        <v>0.45788331383935477</v>
      </c>
      <c r="D12">
        <v>0.4215599131055579</v>
      </c>
      <c r="E12">
        <v>0.60326782624055508</v>
      </c>
      <c r="F12">
        <v>0.37078353477719089</v>
      </c>
      <c r="G12">
        <v>0.39075432617424466</v>
      </c>
      <c r="H12">
        <v>0.38323118504838855</v>
      </c>
      <c r="I12">
        <v>-0.2822645035001507</v>
      </c>
      <c r="J12">
        <v>0.31236544603781752</v>
      </c>
      <c r="K12">
        <v>0.87523736179453204</v>
      </c>
      <c r="L12">
        <v>1</v>
      </c>
    </row>
    <row r="13" spans="1:20" x14ac:dyDescent="0.2">
      <c r="A13" t="s">
        <v>12</v>
      </c>
      <c r="B13">
        <v>0.52342059054634038</v>
      </c>
      <c r="C13">
        <v>0.56672533689044258</v>
      </c>
      <c r="D13">
        <v>0.6500696396159904</v>
      </c>
      <c r="E13">
        <v>0.65198428165749744</v>
      </c>
      <c r="F13">
        <v>0.60070325886879494</v>
      </c>
      <c r="G13">
        <v>0.59025980598962702</v>
      </c>
      <c r="H13">
        <v>0.61835128269913531</v>
      </c>
      <c r="I13">
        <v>-0.20139890279854281</v>
      </c>
      <c r="J13">
        <v>0.54120248944602456</v>
      </c>
      <c r="K13">
        <v>0.8707979558957688</v>
      </c>
      <c r="L13">
        <v>0.90026441526234569</v>
      </c>
      <c r="M13">
        <v>1</v>
      </c>
    </row>
    <row r="14" spans="1:20" x14ac:dyDescent="0.2">
      <c r="A14" t="s">
        <v>13</v>
      </c>
      <c r="B14">
        <v>0.41214548397495082</v>
      </c>
      <c r="C14">
        <v>0.44717625448645149</v>
      </c>
      <c r="D14">
        <v>0.84652382019246153</v>
      </c>
      <c r="E14">
        <v>0.32475118318813223</v>
      </c>
      <c r="F14">
        <v>0.92424630184528045</v>
      </c>
      <c r="G14">
        <v>0.77321032345833463</v>
      </c>
      <c r="H14">
        <v>0.9154258940325114</v>
      </c>
      <c r="I14">
        <v>0.16982841354078437</v>
      </c>
      <c r="J14">
        <v>0.9329532216612203</v>
      </c>
      <c r="K14">
        <v>0.17345777858584221</v>
      </c>
      <c r="L14">
        <v>0.23288343866306269</v>
      </c>
      <c r="M14">
        <v>0.44819383846098432</v>
      </c>
      <c r="N14">
        <v>1</v>
      </c>
    </row>
    <row r="15" spans="1:20" x14ac:dyDescent="0.2">
      <c r="A15" t="s">
        <v>14</v>
      </c>
      <c r="B15">
        <v>0.58374119885545395</v>
      </c>
      <c r="C15">
        <v>0.66664087802371741</v>
      </c>
      <c r="D15">
        <v>0.89799747360700777</v>
      </c>
      <c r="E15">
        <v>0.49668289177496378</v>
      </c>
      <c r="F15">
        <v>0.97173762060699287</v>
      </c>
      <c r="G15">
        <v>0.91400032464136183</v>
      </c>
      <c r="H15">
        <v>0.96224240255343441</v>
      </c>
      <c r="I15">
        <v>0.35499451803530724</v>
      </c>
      <c r="J15">
        <v>0.98291508409043149</v>
      </c>
      <c r="K15">
        <v>0.2521009037777644</v>
      </c>
      <c r="L15">
        <v>0.30125955737630988</v>
      </c>
      <c r="M15">
        <v>0.52785503424262359</v>
      </c>
      <c r="N15">
        <v>0.89019970189420905</v>
      </c>
      <c r="O15">
        <v>1</v>
      </c>
    </row>
    <row r="16" spans="1:20" x14ac:dyDescent="0.2">
      <c r="A16" t="s">
        <v>15</v>
      </c>
      <c r="B16">
        <v>0.57819416947018487</v>
      </c>
      <c r="C16">
        <v>0.67684243104959207</v>
      </c>
      <c r="D16">
        <v>0.89571852867817781</v>
      </c>
      <c r="E16">
        <v>0.5285879090572787</v>
      </c>
      <c r="F16">
        <v>0.98180859124879949</v>
      </c>
      <c r="G16">
        <v>0.91232318229810117</v>
      </c>
      <c r="H16">
        <v>0.96935964449360534</v>
      </c>
      <c r="I16">
        <v>0.33676245496352214</v>
      </c>
      <c r="J16">
        <v>0.99267584101737405</v>
      </c>
      <c r="K16">
        <v>0.28956533760977854</v>
      </c>
      <c r="L16">
        <v>0.33352963813335573</v>
      </c>
      <c r="M16">
        <v>0.54860160547382919</v>
      </c>
      <c r="N16">
        <v>0.92689101789595429</v>
      </c>
      <c r="O16">
        <v>0.9766260386380744</v>
      </c>
      <c r="P16">
        <v>1</v>
      </c>
    </row>
    <row r="17" spans="1:20" x14ac:dyDescent="0.2">
      <c r="A17" t="s">
        <v>16</v>
      </c>
      <c r="B17">
        <v>-0.26121279422495669</v>
      </c>
      <c r="C17">
        <v>-0.32612304570015793</v>
      </c>
      <c r="D17">
        <v>-0.33603715070335738</v>
      </c>
      <c r="E17">
        <v>-0.18423122876187553</v>
      </c>
      <c r="F17">
        <v>-0.46600868661262279</v>
      </c>
      <c r="G17">
        <v>-0.44761202208613182</v>
      </c>
      <c r="H17">
        <v>-0.42854584819993174</v>
      </c>
      <c r="I17">
        <v>-0.57601878184274413</v>
      </c>
      <c r="J17">
        <v>-0.53312208114747395</v>
      </c>
      <c r="K17">
        <v>0.11477896437331775</v>
      </c>
      <c r="L17">
        <v>0.13543126231860378</v>
      </c>
      <c r="M17">
        <v>-2.2670681774305208E-2</v>
      </c>
      <c r="N17">
        <v>-0.40822434192265838</v>
      </c>
      <c r="O17">
        <v>-0.57087790802923977</v>
      </c>
      <c r="P17">
        <v>-0.56066499828474581</v>
      </c>
      <c r="Q17">
        <v>1</v>
      </c>
    </row>
    <row r="18" spans="1:20" x14ac:dyDescent="0.2">
      <c r="A18" t="s">
        <v>17</v>
      </c>
      <c r="B18">
        <v>-0.39301572149818764</v>
      </c>
      <c r="C18">
        <v>-0.56867321081124456</v>
      </c>
      <c r="D18">
        <v>-0.20264354045220825</v>
      </c>
      <c r="E18">
        <v>-0.64237169145126172</v>
      </c>
      <c r="F18">
        <v>-0.19937563686832235</v>
      </c>
      <c r="G18">
        <v>-0.41786233119803184</v>
      </c>
      <c r="H18">
        <v>-0.21820238856292432</v>
      </c>
      <c r="I18">
        <v>-2.0199101992740713E-2</v>
      </c>
      <c r="J18">
        <v>-0.14695154220741766</v>
      </c>
      <c r="K18">
        <v>-0.54677941666234298</v>
      </c>
      <c r="L18">
        <v>-0.5337855145492687</v>
      </c>
      <c r="M18">
        <v>-0.48709779993447483</v>
      </c>
      <c r="N18">
        <v>-2.5310793861930039E-2</v>
      </c>
      <c r="O18">
        <v>-0.13615409425497621</v>
      </c>
      <c r="P18">
        <v>-0.15376958422184381</v>
      </c>
      <c r="Q18">
        <v>-0.33972958322346147</v>
      </c>
      <c r="R18">
        <v>1</v>
      </c>
    </row>
    <row r="19" spans="1:20" x14ac:dyDescent="0.2">
      <c r="A19" t="s">
        <v>18</v>
      </c>
      <c r="B19">
        <v>0.49895522256702052</v>
      </c>
      <c r="C19">
        <v>0.62073815183978986</v>
      </c>
      <c r="D19">
        <v>0.43941938936697522</v>
      </c>
      <c r="E19">
        <v>0.716559833457172</v>
      </c>
      <c r="F19">
        <v>0.44066025197971592</v>
      </c>
      <c r="G19">
        <v>0.55363314327918989</v>
      </c>
      <c r="H19">
        <v>0.42683191871940779</v>
      </c>
      <c r="I19">
        <v>0.1302249952348519</v>
      </c>
      <c r="J19">
        <v>0.39140945687548478</v>
      </c>
      <c r="K19">
        <v>0.75872503934376145</v>
      </c>
      <c r="L19">
        <v>0.74058606199892318</v>
      </c>
      <c r="M19">
        <v>0.78229312491545189</v>
      </c>
      <c r="N19">
        <v>0.21161800287647778</v>
      </c>
      <c r="O19">
        <v>0.3989664065490906</v>
      </c>
      <c r="P19">
        <v>0.41997964525533876</v>
      </c>
      <c r="Q19">
        <v>-0.14903408201393931</v>
      </c>
      <c r="R19">
        <v>-0.55144424616942334</v>
      </c>
      <c r="S19">
        <v>1</v>
      </c>
    </row>
    <row r="20" spans="1:20" ht="16" thickBot="1" x14ac:dyDescent="0.25">
      <c r="A20" s="2" t="s">
        <v>19</v>
      </c>
      <c r="B20" s="2">
        <v>0.3675130637115096</v>
      </c>
      <c r="C20" s="2">
        <v>0.51627057626791639</v>
      </c>
      <c r="D20" s="2">
        <v>0.2980944735718945</v>
      </c>
      <c r="E20" s="2">
        <v>0.63418148531014729</v>
      </c>
      <c r="F20" s="2">
        <v>0.3034372575831023</v>
      </c>
      <c r="G20" s="2">
        <v>0.41020412588672639</v>
      </c>
      <c r="H20" s="2">
        <v>0.28396193374042911</v>
      </c>
      <c r="I20" s="2">
        <v>0.10698317731590405</v>
      </c>
      <c r="J20" s="2">
        <v>0.2562835652390828</v>
      </c>
      <c r="K20" s="2">
        <v>0.74002958939858465</v>
      </c>
      <c r="L20" s="2">
        <v>0.73080751238934538</v>
      </c>
      <c r="M20" s="2">
        <v>0.71120256180705954</v>
      </c>
      <c r="N20" s="2">
        <v>7.087406306090932E-2</v>
      </c>
      <c r="O20" s="2">
        <v>0.28739624758043619</v>
      </c>
      <c r="P20" s="2">
        <v>0.2897655277033746</v>
      </c>
      <c r="Q20" s="2">
        <v>-5.9933330180694439E-2</v>
      </c>
      <c r="R20" s="2">
        <v>-0.52533537832154298</v>
      </c>
      <c r="S20" s="2">
        <v>0.93547929126718632</v>
      </c>
      <c r="T20" s="2">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1AC01-5E16-BA42-9006-3337F9A4E18F}">
  <sheetPr codeName="Sheet9"/>
  <dimension ref="A1:S20"/>
  <sheetViews>
    <sheetView workbookViewId="0">
      <selection sqref="A1:S20"/>
    </sheetView>
  </sheetViews>
  <sheetFormatPr baseColWidth="10" defaultRowHeight="15" x14ac:dyDescent="0.2"/>
  <sheetData>
    <row r="1" spans="1:19" x14ac:dyDescent="0.2">
      <c r="A1" s="9" t="s">
        <v>23</v>
      </c>
      <c r="B1" s="9" t="s">
        <v>1</v>
      </c>
      <c r="C1" s="9" t="s">
        <v>2</v>
      </c>
      <c r="D1" s="9" t="s">
        <v>3</v>
      </c>
      <c r="E1" s="9" t="s">
        <v>4</v>
      </c>
      <c r="F1" s="9" t="s">
        <v>5</v>
      </c>
      <c r="G1" s="9" t="s">
        <v>6</v>
      </c>
      <c r="H1" s="9" t="s">
        <v>7</v>
      </c>
      <c r="I1" s="9" t="s">
        <v>8</v>
      </c>
      <c r="J1" s="9" t="s">
        <v>9</v>
      </c>
      <c r="K1" s="9" t="s">
        <v>10</v>
      </c>
      <c r="L1" s="9" t="s">
        <v>11</v>
      </c>
      <c r="M1" s="9" t="s">
        <v>12</v>
      </c>
      <c r="N1" s="9" t="s">
        <v>13</v>
      </c>
      <c r="O1" s="9" t="s">
        <v>14</v>
      </c>
      <c r="P1" s="9" t="s">
        <v>15</v>
      </c>
      <c r="Q1" s="9" t="s">
        <v>16</v>
      </c>
      <c r="R1" s="9" t="s">
        <v>17</v>
      </c>
      <c r="S1" s="9" t="s">
        <v>18</v>
      </c>
    </row>
    <row r="2" spans="1:19" x14ac:dyDescent="0.2">
      <c r="A2" s="8" t="s">
        <v>1</v>
      </c>
      <c r="B2" s="4">
        <v>1</v>
      </c>
      <c r="C2" s="4">
        <v>0.67096561300000002</v>
      </c>
      <c r="D2" s="4">
        <v>0.74209372900000004</v>
      </c>
      <c r="E2" s="4">
        <v>0.80561452899999997</v>
      </c>
      <c r="F2" s="4">
        <v>0.67207541900000001</v>
      </c>
      <c r="G2" s="4">
        <v>0.84187201899999997</v>
      </c>
      <c r="H2" s="4">
        <v>0.68493674400000004</v>
      </c>
      <c r="I2" s="4">
        <v>0.43710756299999998</v>
      </c>
      <c r="J2" s="4">
        <v>0.65211393100000004</v>
      </c>
      <c r="K2" s="4">
        <v>0.405409348</v>
      </c>
      <c r="L2" s="4">
        <v>0.45788331399999999</v>
      </c>
      <c r="M2" s="4">
        <v>0.56672533700000005</v>
      </c>
      <c r="N2" s="4">
        <v>0.447176254</v>
      </c>
      <c r="O2" s="4">
        <v>0.66664087800000005</v>
      </c>
      <c r="P2" s="4">
        <v>0.67684243099999997</v>
      </c>
      <c r="Q2" s="4">
        <v>-0.32612304600000003</v>
      </c>
      <c r="R2" s="4">
        <v>-0.56867321100000001</v>
      </c>
      <c r="S2" s="4">
        <v>0.62073815200000004</v>
      </c>
    </row>
    <row r="3" spans="1:19" x14ac:dyDescent="0.2">
      <c r="A3" s="8" t="s">
        <v>2</v>
      </c>
      <c r="B3" s="4">
        <v>0.67096561300000002</v>
      </c>
      <c r="C3" s="4">
        <v>1</v>
      </c>
      <c r="D3" s="4">
        <v>0.645275559</v>
      </c>
      <c r="E3" s="4">
        <v>0.54656646799999997</v>
      </c>
      <c r="F3" s="4">
        <v>0.94561400900000003</v>
      </c>
      <c r="G3" s="4">
        <v>0.87802830899999995</v>
      </c>
      <c r="H3" s="4">
        <v>0.96152926800000005</v>
      </c>
      <c r="I3" s="4">
        <v>0.150677476</v>
      </c>
      <c r="J3" s="4">
        <v>0.91827181700000005</v>
      </c>
      <c r="K3" s="4">
        <v>0.30839266900000001</v>
      </c>
      <c r="L3" s="4">
        <v>0.42155991300000001</v>
      </c>
      <c r="M3" s="4">
        <v>0.65006964</v>
      </c>
      <c r="N3" s="4">
        <v>0.84652382000000004</v>
      </c>
      <c r="O3" s="4">
        <v>0.89799747399999996</v>
      </c>
      <c r="P3" s="4">
        <v>0.89571852900000004</v>
      </c>
      <c r="Q3" s="4">
        <v>-0.33603715099999998</v>
      </c>
      <c r="R3" s="4">
        <v>-0.20264354000000001</v>
      </c>
      <c r="S3" s="4">
        <v>0.43941938899999999</v>
      </c>
    </row>
    <row r="4" spans="1:19" x14ac:dyDescent="0.2">
      <c r="A4" s="8" t="s">
        <v>3</v>
      </c>
      <c r="B4" s="4">
        <v>0.74209372900000004</v>
      </c>
      <c r="C4" s="4">
        <v>0.645275559</v>
      </c>
      <c r="D4" s="4"/>
      <c r="E4" s="4">
        <v>0.69592891099999998</v>
      </c>
      <c r="F4" s="4">
        <v>0.61616607000000001</v>
      </c>
      <c r="G4" s="4">
        <v>0.74131938500000005</v>
      </c>
      <c r="H4" s="4">
        <v>0.64081364299999999</v>
      </c>
      <c r="I4" s="4">
        <v>0.29846032099999997</v>
      </c>
      <c r="J4" s="4">
        <v>0.58781558499999997</v>
      </c>
      <c r="K4" s="4">
        <v>0.35179983199999998</v>
      </c>
      <c r="L4" s="4">
        <v>0.36131901900000002</v>
      </c>
      <c r="M4" s="4">
        <v>0.52342059100000005</v>
      </c>
      <c r="N4" s="4">
        <v>0.41214548400000001</v>
      </c>
      <c r="O4" s="4">
        <v>0.58374119899999999</v>
      </c>
      <c r="P4" s="4">
        <v>0.57819416899999998</v>
      </c>
      <c r="Q4" s="4">
        <v>-0.26121279400000003</v>
      </c>
      <c r="R4" s="4">
        <v>-0.39301572099999998</v>
      </c>
      <c r="S4" s="4">
        <v>0.498955223</v>
      </c>
    </row>
    <row r="5" spans="1:19" x14ac:dyDescent="0.2">
      <c r="A5" s="8" t="s">
        <v>4</v>
      </c>
      <c r="B5" s="4">
        <v>0.80561452899999997</v>
      </c>
      <c r="C5" s="4">
        <v>0.54656646799999997</v>
      </c>
      <c r="D5" s="4">
        <v>0.69592891099999998</v>
      </c>
      <c r="E5" s="4">
        <v>1</v>
      </c>
      <c r="F5" s="4">
        <v>0.53831151499999996</v>
      </c>
      <c r="G5" s="4">
        <v>0.70256608399999998</v>
      </c>
      <c r="H5" s="4">
        <v>0.55307086599999999</v>
      </c>
      <c r="I5" s="4">
        <v>0.25134441899999999</v>
      </c>
      <c r="J5" s="4">
        <v>0.50228965699999994</v>
      </c>
      <c r="K5" s="4">
        <v>0.56839800299999999</v>
      </c>
      <c r="L5" s="4">
        <v>0.60326782599999995</v>
      </c>
      <c r="M5" s="4">
        <v>0.65198428200000003</v>
      </c>
      <c r="N5" s="4">
        <v>0.324751183</v>
      </c>
      <c r="O5" s="4">
        <v>0.49668289199999999</v>
      </c>
      <c r="P5" s="4">
        <v>0.52858790899999997</v>
      </c>
      <c r="Q5" s="4">
        <v>-0.184231229</v>
      </c>
      <c r="R5" s="4">
        <v>-0.64237169100000002</v>
      </c>
      <c r="S5" s="4">
        <v>0.71655983300000003</v>
      </c>
    </row>
    <row r="6" spans="1:19" x14ac:dyDescent="0.2">
      <c r="A6" s="8" t="s">
        <v>5</v>
      </c>
      <c r="B6" s="4">
        <v>0.67207541900000001</v>
      </c>
      <c r="C6" s="4">
        <v>0.94561400900000003</v>
      </c>
      <c r="D6" s="4">
        <v>0.61616607000000001</v>
      </c>
      <c r="E6" s="4">
        <v>0.53831151499999996</v>
      </c>
      <c r="F6" s="4">
        <v>1</v>
      </c>
      <c r="G6" s="4">
        <v>0.93066506400000004</v>
      </c>
      <c r="H6" s="4">
        <v>0.995818341</v>
      </c>
      <c r="I6" s="4">
        <v>0.27622296800000001</v>
      </c>
      <c r="J6" s="4">
        <v>0.99368732000000004</v>
      </c>
      <c r="K6" s="4">
        <v>0.30997823200000002</v>
      </c>
      <c r="L6" s="4">
        <v>0.370783535</v>
      </c>
      <c r="M6" s="4">
        <v>0.60070325899999999</v>
      </c>
      <c r="N6" s="4">
        <v>0.92424630200000002</v>
      </c>
      <c r="O6" s="4">
        <v>0.97173762100000005</v>
      </c>
      <c r="P6" s="4">
        <v>0.98180859099999995</v>
      </c>
      <c r="Q6" s="4">
        <v>-0.46600868699999998</v>
      </c>
      <c r="R6" s="4">
        <v>-0.19937563699999999</v>
      </c>
      <c r="S6" s="4">
        <v>0.44066025199999997</v>
      </c>
    </row>
    <row r="7" spans="1:19" x14ac:dyDescent="0.2">
      <c r="A7" s="8" t="s">
        <v>6</v>
      </c>
      <c r="B7" s="4">
        <v>0.84187201899999997</v>
      </c>
      <c r="C7" s="4">
        <v>0.87802830899999995</v>
      </c>
      <c r="D7" s="4">
        <v>0.74131938500000005</v>
      </c>
      <c r="E7" s="4">
        <v>0.70256608399999998</v>
      </c>
      <c r="F7" s="4">
        <v>0.93066506400000004</v>
      </c>
      <c r="G7" s="4">
        <v>1</v>
      </c>
      <c r="H7" s="4">
        <v>0.93047618200000004</v>
      </c>
      <c r="I7" s="4">
        <v>0.41435639600000002</v>
      </c>
      <c r="J7" s="4">
        <v>0.91989927199999999</v>
      </c>
      <c r="K7" s="4">
        <v>0.33492182100000001</v>
      </c>
      <c r="L7" s="4">
        <v>0.39075432599999999</v>
      </c>
      <c r="M7" s="4">
        <v>0.59025980600000005</v>
      </c>
      <c r="N7" s="4">
        <v>0.77321032300000003</v>
      </c>
      <c r="O7" s="4">
        <v>0.91400032499999995</v>
      </c>
      <c r="P7" s="4">
        <v>0.91232318199999995</v>
      </c>
      <c r="Q7" s="4">
        <v>-0.447612022</v>
      </c>
      <c r="R7" s="4">
        <v>-0.41786233099999998</v>
      </c>
      <c r="S7" s="4">
        <v>0.55363314299999999</v>
      </c>
    </row>
    <row r="8" spans="1:19" x14ac:dyDescent="0.2">
      <c r="A8" s="8" t="s">
        <v>7</v>
      </c>
      <c r="B8" s="4">
        <v>0.68493674400000004</v>
      </c>
      <c r="C8" s="4">
        <v>0.96152926800000005</v>
      </c>
      <c r="D8" s="4">
        <v>0.64081364299999999</v>
      </c>
      <c r="E8" s="4">
        <v>0.55307086599999999</v>
      </c>
      <c r="F8" s="4">
        <v>0.995818341</v>
      </c>
      <c r="G8" s="4">
        <v>0.93047618200000004</v>
      </c>
      <c r="H8" s="4">
        <v>1</v>
      </c>
      <c r="I8" s="4">
        <v>0.24086591800000001</v>
      </c>
      <c r="J8" s="4">
        <v>0.98455073000000004</v>
      </c>
      <c r="K8" s="4">
        <v>0.31431543899999997</v>
      </c>
      <c r="L8" s="4">
        <v>0.38323118499999997</v>
      </c>
      <c r="M8" s="4">
        <v>0.61835128299999997</v>
      </c>
      <c r="N8" s="4">
        <v>0.91542589399999996</v>
      </c>
      <c r="O8" s="4">
        <v>0.96224240299999997</v>
      </c>
      <c r="P8" s="4">
        <v>0.96935964399999996</v>
      </c>
      <c r="Q8" s="4">
        <v>-0.42854584800000001</v>
      </c>
      <c r="R8" s="4">
        <v>-0.218202389</v>
      </c>
      <c r="S8" s="4">
        <v>0.426831919</v>
      </c>
    </row>
    <row r="9" spans="1:19" x14ac:dyDescent="0.2">
      <c r="A9" s="8" t="s">
        <v>8</v>
      </c>
      <c r="B9" s="4">
        <v>0.43710756299999998</v>
      </c>
      <c r="C9" s="4">
        <v>0.150677476</v>
      </c>
      <c r="D9" s="4">
        <v>0.29846032099999997</v>
      </c>
      <c r="E9" s="4">
        <v>0.25134441899999999</v>
      </c>
      <c r="F9" s="4">
        <v>0.27622296800000001</v>
      </c>
      <c r="G9" s="4">
        <v>0.41435639600000002</v>
      </c>
      <c r="H9" s="4">
        <v>0.24086591800000001</v>
      </c>
      <c r="I9" s="4">
        <v>1</v>
      </c>
      <c r="J9" s="4">
        <v>0.31687858899999999</v>
      </c>
      <c r="K9" s="4">
        <v>-0.199710531</v>
      </c>
      <c r="L9" s="4">
        <v>-0.28226450400000003</v>
      </c>
      <c r="M9" s="4">
        <v>-0.20139890299999999</v>
      </c>
      <c r="N9" s="4">
        <v>0.16982841400000001</v>
      </c>
      <c r="O9" s="4">
        <v>0.35499451799999998</v>
      </c>
      <c r="P9" s="4">
        <v>0.33676245500000002</v>
      </c>
      <c r="Q9" s="4">
        <v>-0.57601878200000001</v>
      </c>
      <c r="R9" s="4">
        <v>-2.0199102E-2</v>
      </c>
      <c r="S9" s="4">
        <v>0.13022499500000001</v>
      </c>
    </row>
    <row r="10" spans="1:19" x14ac:dyDescent="0.2">
      <c r="A10" s="8" t="s">
        <v>9</v>
      </c>
      <c r="B10" s="4">
        <v>0.65211393100000004</v>
      </c>
      <c r="C10" s="4">
        <v>0.91827181700000005</v>
      </c>
      <c r="D10" s="4">
        <v>0.58781558499999997</v>
      </c>
      <c r="E10" s="4">
        <v>0.50228965699999994</v>
      </c>
      <c r="F10" s="4">
        <v>0.99368732000000004</v>
      </c>
      <c r="G10" s="4">
        <v>0.91989927199999999</v>
      </c>
      <c r="H10" s="4">
        <v>0.98455073000000004</v>
      </c>
      <c r="I10" s="4">
        <v>0.31687858899999999</v>
      </c>
      <c r="J10" s="4">
        <v>1</v>
      </c>
      <c r="K10" s="4">
        <v>0.260790085</v>
      </c>
      <c r="L10" s="4">
        <v>0.31236544599999999</v>
      </c>
      <c r="M10" s="4">
        <v>0.54120248900000001</v>
      </c>
      <c r="N10" s="4">
        <v>0.93295322199999997</v>
      </c>
      <c r="O10" s="4">
        <v>0.98291508400000005</v>
      </c>
      <c r="P10" s="4">
        <v>0.99267584099999995</v>
      </c>
      <c r="Q10" s="4">
        <v>-0.53312208100000003</v>
      </c>
      <c r="R10" s="4">
        <v>-0.14695154199999999</v>
      </c>
      <c r="S10" s="4">
        <v>0.39140945700000002</v>
      </c>
    </row>
    <row r="11" spans="1:19" x14ac:dyDescent="0.2">
      <c r="A11" s="8" t="s">
        <v>10</v>
      </c>
      <c r="B11" s="4">
        <v>0.405409348</v>
      </c>
      <c r="C11" s="4">
        <v>0.30839266900000001</v>
      </c>
      <c r="D11" s="4">
        <v>0.35179983199999998</v>
      </c>
      <c r="E11" s="4">
        <v>0.56839800299999999</v>
      </c>
      <c r="F11" s="4">
        <v>0.30997823200000002</v>
      </c>
      <c r="G11" s="4">
        <v>0.33492182100000001</v>
      </c>
      <c r="H11" s="4">
        <v>0.31431543899999997</v>
      </c>
      <c r="I11" s="4">
        <v>-0.199710531</v>
      </c>
      <c r="J11" s="4">
        <v>0.260790085</v>
      </c>
      <c r="K11" s="4">
        <v>1</v>
      </c>
      <c r="L11" s="4">
        <v>0.87523736200000002</v>
      </c>
      <c r="M11" s="4">
        <v>0.87079795599999998</v>
      </c>
      <c r="N11" s="4">
        <v>0.17345777900000001</v>
      </c>
      <c r="O11" s="4">
        <v>0.25210090400000001</v>
      </c>
      <c r="P11" s="4">
        <v>0.28956533800000001</v>
      </c>
      <c r="Q11" s="4">
        <v>0.114778964</v>
      </c>
      <c r="R11" s="4">
        <v>-0.54677941699999999</v>
      </c>
      <c r="S11" s="4">
        <v>0.75872503899999999</v>
      </c>
    </row>
    <row r="12" spans="1:19" x14ac:dyDescent="0.2">
      <c r="A12" s="8" t="s">
        <v>11</v>
      </c>
      <c r="B12" s="4">
        <v>0.45788331399999999</v>
      </c>
      <c r="C12" s="4">
        <v>0.42155991300000001</v>
      </c>
      <c r="D12" s="4">
        <v>0.36131901900000002</v>
      </c>
      <c r="E12" s="4">
        <v>0.60326782599999995</v>
      </c>
      <c r="F12" s="4">
        <v>0.370783535</v>
      </c>
      <c r="G12" s="4">
        <v>0.39075432599999999</v>
      </c>
      <c r="H12" s="4">
        <v>0.38323118499999997</v>
      </c>
      <c r="I12" s="4">
        <v>-0.28226450400000003</v>
      </c>
      <c r="J12" s="4">
        <v>0.31236544599999999</v>
      </c>
      <c r="K12" s="4">
        <v>0.87523736200000002</v>
      </c>
      <c r="L12" s="4">
        <v>1</v>
      </c>
      <c r="M12" s="4">
        <v>0.90026441499999998</v>
      </c>
      <c r="N12" s="4">
        <v>0.232883439</v>
      </c>
      <c r="O12" s="4">
        <v>0.30125955700000001</v>
      </c>
      <c r="P12" s="4">
        <v>0.33352963800000002</v>
      </c>
      <c r="Q12" s="4">
        <v>0.135431262</v>
      </c>
      <c r="R12" s="4">
        <v>-0.53378551500000004</v>
      </c>
      <c r="S12" s="4">
        <v>0.74058606199999999</v>
      </c>
    </row>
    <row r="13" spans="1:19" x14ac:dyDescent="0.2">
      <c r="A13" s="8" t="s">
        <v>12</v>
      </c>
      <c r="B13" s="4">
        <v>0.56672533700000005</v>
      </c>
      <c r="C13" s="4">
        <v>0.65006964</v>
      </c>
      <c r="D13" s="4">
        <v>0.52342059100000005</v>
      </c>
      <c r="E13" s="4">
        <v>0.65198428200000003</v>
      </c>
      <c r="F13" s="4">
        <v>0.60070325899999999</v>
      </c>
      <c r="G13" s="4">
        <v>0.59025980600000005</v>
      </c>
      <c r="H13" s="4">
        <v>0.61835128299999997</v>
      </c>
      <c r="I13" s="4">
        <v>-0.20139890299999999</v>
      </c>
      <c r="J13" s="4">
        <v>0.54120248900000001</v>
      </c>
      <c r="K13" s="4">
        <v>0.87079795599999998</v>
      </c>
      <c r="L13" s="4">
        <v>0.90026441499999998</v>
      </c>
      <c r="M13" s="4">
        <v>1</v>
      </c>
      <c r="N13" s="4">
        <v>0.44819383800000001</v>
      </c>
      <c r="O13" s="4">
        <v>0.527855034</v>
      </c>
      <c r="P13" s="4">
        <v>0.54860160499999999</v>
      </c>
      <c r="Q13" s="4">
        <v>-2.2670682000000001E-2</v>
      </c>
      <c r="R13" s="4">
        <v>-0.48709780000000003</v>
      </c>
      <c r="S13" s="4">
        <v>0.78229312500000003</v>
      </c>
    </row>
    <row r="14" spans="1:19" x14ac:dyDescent="0.2">
      <c r="A14" s="8" t="s">
        <v>13</v>
      </c>
      <c r="B14" s="4">
        <v>0.447176254</v>
      </c>
      <c r="C14" s="4">
        <v>0.84652382000000004</v>
      </c>
      <c r="D14" s="4">
        <v>0.41214548400000001</v>
      </c>
      <c r="E14" s="4">
        <v>0.324751183</v>
      </c>
      <c r="F14" s="4">
        <v>0.92424630200000002</v>
      </c>
      <c r="G14" s="4">
        <v>0.77321032300000003</v>
      </c>
      <c r="H14" s="4">
        <v>0.91542589399999996</v>
      </c>
      <c r="I14" s="4">
        <v>0.16982841400000001</v>
      </c>
      <c r="J14" s="4">
        <v>0.93295322199999997</v>
      </c>
      <c r="K14" s="4">
        <v>0.17345777900000001</v>
      </c>
      <c r="L14" s="4">
        <v>0.232883439</v>
      </c>
      <c r="M14" s="4">
        <v>0.44819383800000001</v>
      </c>
      <c r="N14" s="4">
        <v>1</v>
      </c>
      <c r="O14" s="4">
        <v>0.89019970199999998</v>
      </c>
      <c r="P14" s="4">
        <v>0.92689101799999996</v>
      </c>
      <c r="Q14" s="4">
        <v>-0.40822434200000002</v>
      </c>
      <c r="R14" s="4">
        <v>-2.5310794000000001E-2</v>
      </c>
      <c r="S14" s="4">
        <v>0.211618003</v>
      </c>
    </row>
    <row r="15" spans="1:19" x14ac:dyDescent="0.2">
      <c r="A15" s="8" t="s">
        <v>14</v>
      </c>
      <c r="B15" s="4">
        <v>0.66664087800000005</v>
      </c>
      <c r="C15" s="4">
        <v>0.89799747399999996</v>
      </c>
      <c r="D15" s="4">
        <v>0.58374119899999999</v>
      </c>
      <c r="E15" s="4">
        <v>0.49668289199999999</v>
      </c>
      <c r="F15" s="4">
        <v>0.97173762100000005</v>
      </c>
      <c r="G15" s="4">
        <v>0.91400032499999995</v>
      </c>
      <c r="H15" s="4">
        <v>0.96224240299999997</v>
      </c>
      <c r="I15" s="4">
        <v>0.35499451799999998</v>
      </c>
      <c r="J15" s="4">
        <v>0.98291508400000005</v>
      </c>
      <c r="K15" s="4">
        <v>0.25210090400000001</v>
      </c>
      <c r="L15" s="4">
        <v>0.30125955700000001</v>
      </c>
      <c r="M15" s="4">
        <v>0.527855034</v>
      </c>
      <c r="N15" s="4">
        <v>0.89019970199999998</v>
      </c>
      <c r="O15" s="4">
        <v>1</v>
      </c>
      <c r="P15" s="4">
        <v>0.976626039</v>
      </c>
      <c r="Q15" s="4">
        <v>-0.57087790800000004</v>
      </c>
      <c r="R15" s="4">
        <v>-0.136154094</v>
      </c>
      <c r="S15" s="4">
        <v>0.39896640700000002</v>
      </c>
    </row>
    <row r="16" spans="1:19" x14ac:dyDescent="0.2">
      <c r="A16" s="8" t="s">
        <v>15</v>
      </c>
      <c r="B16" s="4">
        <v>0.67684243099999997</v>
      </c>
      <c r="C16" s="4">
        <v>0.89571852900000004</v>
      </c>
      <c r="D16" s="4">
        <v>0.57819416899999998</v>
      </c>
      <c r="E16" s="4">
        <v>0.52858790899999997</v>
      </c>
      <c r="F16" s="4">
        <v>0.98180859099999995</v>
      </c>
      <c r="G16" s="4">
        <v>0.91232318199999995</v>
      </c>
      <c r="H16" s="4">
        <v>0.96935964399999996</v>
      </c>
      <c r="I16" s="4">
        <v>0.33676245500000002</v>
      </c>
      <c r="J16" s="4">
        <v>0.99267584099999995</v>
      </c>
      <c r="K16" s="4">
        <v>0.28956533800000001</v>
      </c>
      <c r="L16" s="4">
        <v>0.33352963800000002</v>
      </c>
      <c r="M16" s="4">
        <v>0.54860160499999999</v>
      </c>
      <c r="N16" s="4">
        <v>0.92689101799999996</v>
      </c>
      <c r="O16" s="4">
        <v>0.976626039</v>
      </c>
      <c r="P16" s="4">
        <v>1</v>
      </c>
      <c r="Q16" s="4">
        <v>-0.56066499800000003</v>
      </c>
      <c r="R16" s="4">
        <v>-0.15376958399999999</v>
      </c>
      <c r="S16" s="4">
        <v>0.41997964500000001</v>
      </c>
    </row>
    <row r="17" spans="1:19" x14ac:dyDescent="0.2">
      <c r="A17" s="8" t="s">
        <v>16</v>
      </c>
      <c r="B17" s="4">
        <v>-0.32612304600000003</v>
      </c>
      <c r="C17" s="4">
        <v>-0.33603715099999998</v>
      </c>
      <c r="D17" s="4">
        <v>-0.26121279400000003</v>
      </c>
      <c r="E17" s="4">
        <v>-0.184231229</v>
      </c>
      <c r="F17" s="4">
        <v>-0.46600868699999998</v>
      </c>
      <c r="G17" s="4">
        <v>-0.447612022</v>
      </c>
      <c r="H17" s="4">
        <v>-0.42854584800000001</v>
      </c>
      <c r="I17" s="4">
        <v>-0.57601878200000001</v>
      </c>
      <c r="J17" s="4">
        <v>-0.53312208100000003</v>
      </c>
      <c r="K17" s="4">
        <v>0.114778964</v>
      </c>
      <c r="L17" s="4">
        <v>0.135431262</v>
      </c>
      <c r="M17" s="4">
        <v>-2.2670682000000001E-2</v>
      </c>
      <c r="N17" s="4">
        <v>-0.40822434200000002</v>
      </c>
      <c r="O17" s="4">
        <v>-0.57087790800000004</v>
      </c>
      <c r="P17" s="4">
        <v>-0.56066499800000003</v>
      </c>
      <c r="Q17" s="4">
        <v>1</v>
      </c>
      <c r="R17" s="4">
        <v>-0.339729583</v>
      </c>
      <c r="S17" s="4">
        <v>-0.14903408200000001</v>
      </c>
    </row>
    <row r="18" spans="1:19" x14ac:dyDescent="0.2">
      <c r="A18" s="8" t="s">
        <v>17</v>
      </c>
      <c r="B18" s="4">
        <v>-0.56867321100000001</v>
      </c>
      <c r="C18" s="4">
        <v>-0.20264354000000001</v>
      </c>
      <c r="D18" s="4">
        <v>-0.39301572099999998</v>
      </c>
      <c r="E18" s="4">
        <v>-0.64237169100000002</v>
      </c>
      <c r="F18" s="4">
        <v>-0.19937563699999999</v>
      </c>
      <c r="G18" s="4">
        <v>-0.41786233099999998</v>
      </c>
      <c r="H18" s="4">
        <v>-0.218202389</v>
      </c>
      <c r="I18" s="4">
        <v>-2.0199102E-2</v>
      </c>
      <c r="J18" s="4">
        <v>-0.14695154199999999</v>
      </c>
      <c r="K18" s="4">
        <v>-0.54677941699999999</v>
      </c>
      <c r="L18" s="4">
        <v>-0.53378551500000004</v>
      </c>
      <c r="M18" s="4">
        <v>-0.48709780000000003</v>
      </c>
      <c r="N18" s="4">
        <v>-2.5310794000000001E-2</v>
      </c>
      <c r="O18" s="4">
        <v>-0.136154094</v>
      </c>
      <c r="P18" s="4">
        <v>-0.15376958399999999</v>
      </c>
      <c r="Q18" s="4">
        <v>-0.339729583</v>
      </c>
      <c r="R18" s="4">
        <v>1</v>
      </c>
      <c r="S18" s="4">
        <v>-0.55144424599999997</v>
      </c>
    </row>
    <row r="19" spans="1:19" x14ac:dyDescent="0.2">
      <c r="A19" s="8" t="s">
        <v>18</v>
      </c>
      <c r="B19" s="4">
        <v>0.62073815200000004</v>
      </c>
      <c r="C19" s="4">
        <v>0.43941938899999999</v>
      </c>
      <c r="D19" s="4">
        <v>0.498955223</v>
      </c>
      <c r="E19" s="4">
        <v>0.71655983300000003</v>
      </c>
      <c r="F19" s="4">
        <v>0.44066025199999997</v>
      </c>
      <c r="G19" s="4">
        <v>0.55363314299999999</v>
      </c>
      <c r="H19" s="4">
        <v>0.426831919</v>
      </c>
      <c r="I19" s="4">
        <v>0.13022499500000001</v>
      </c>
      <c r="J19" s="4">
        <v>0.39140945700000002</v>
      </c>
      <c r="K19" s="4">
        <v>0.75872503899999999</v>
      </c>
      <c r="L19" s="4">
        <v>0.74058606199999999</v>
      </c>
      <c r="M19" s="4">
        <v>0.78229312500000003</v>
      </c>
      <c r="N19" s="4">
        <v>0.211618003</v>
      </c>
      <c r="O19" s="4">
        <v>0.39896640700000002</v>
      </c>
      <c r="P19" s="4">
        <v>0.41997964500000001</v>
      </c>
      <c r="Q19" s="4">
        <v>-0.14903408200000001</v>
      </c>
      <c r="R19" s="4">
        <v>-0.55144424599999997</v>
      </c>
      <c r="S19" s="4">
        <v>1</v>
      </c>
    </row>
    <row r="20" spans="1:19" x14ac:dyDescent="0.2">
      <c r="A20" s="8" t="s">
        <v>19</v>
      </c>
      <c r="B20" s="4">
        <v>0.51627057600000004</v>
      </c>
      <c r="C20" s="4">
        <v>0.298094474</v>
      </c>
      <c r="D20" s="4">
        <v>0.367513064</v>
      </c>
      <c r="E20" s="4">
        <v>0.63418148500000004</v>
      </c>
      <c r="F20" s="4">
        <v>0.30343725799999999</v>
      </c>
      <c r="G20" s="4">
        <v>0.410204126</v>
      </c>
      <c r="H20" s="4">
        <v>0.28396193400000003</v>
      </c>
      <c r="I20" s="4">
        <v>0.106983177</v>
      </c>
      <c r="J20" s="4">
        <v>0.25628356499999999</v>
      </c>
      <c r="K20" s="4">
        <v>0.74002958900000004</v>
      </c>
      <c r="L20" s="4">
        <v>0.73080751200000005</v>
      </c>
      <c r="M20" s="4">
        <v>0.71120256199999998</v>
      </c>
      <c r="N20" s="4">
        <v>7.0874063000000001E-2</v>
      </c>
      <c r="O20" s="4">
        <v>0.28739624800000002</v>
      </c>
      <c r="P20" s="4">
        <v>0.28976552799999999</v>
      </c>
      <c r="Q20" s="4">
        <v>-5.993333E-2</v>
      </c>
      <c r="R20" s="4">
        <v>-0.52533537799999996</v>
      </c>
      <c r="S20" s="4">
        <v>0.93547929100000005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06036-0565-7E45-AA8A-D60773688CA1}">
  <sheetPr codeName="Sheet2"/>
  <dimension ref="A1:T20"/>
  <sheetViews>
    <sheetView zoomScale="125" workbookViewId="0">
      <selection activeCell="B3" sqref="B3:B8"/>
    </sheetView>
  </sheetViews>
  <sheetFormatPr baseColWidth="10" defaultRowHeight="15" x14ac:dyDescent="0.2"/>
  <sheetData>
    <row r="1" spans="1:20" x14ac:dyDescent="0.2">
      <c r="A1" s="3"/>
      <c r="B1" s="3" t="s">
        <v>3</v>
      </c>
      <c r="C1" s="3" t="s">
        <v>1</v>
      </c>
      <c r="D1" s="3" t="s">
        <v>2</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row>
    <row r="2" spans="1:20" x14ac:dyDescent="0.2">
      <c r="A2" t="s">
        <v>3</v>
      </c>
      <c r="B2">
        <v>1</v>
      </c>
      <c r="C2">
        <v>0.74209372874837232</v>
      </c>
      <c r="D2">
        <v>0.64527555890791555</v>
      </c>
      <c r="E2">
        <v>0.69592891055480222</v>
      </c>
      <c r="F2">
        <v>0.61616606955935349</v>
      </c>
      <c r="G2">
        <v>0.74131938497187044</v>
      </c>
      <c r="H2">
        <v>0.64081364293971377</v>
      </c>
      <c r="I2">
        <v>0.29846032067717415</v>
      </c>
      <c r="J2">
        <v>0.58781558541164947</v>
      </c>
      <c r="K2">
        <v>0.35179983214521898</v>
      </c>
      <c r="L2">
        <v>0.36131901925872889</v>
      </c>
      <c r="M2">
        <v>0.52342059054634038</v>
      </c>
      <c r="N2">
        <v>0.41214548397495082</v>
      </c>
      <c r="O2">
        <v>0.58374119885545395</v>
      </c>
      <c r="P2">
        <v>0.57819416947018487</v>
      </c>
      <c r="Q2">
        <v>-0.26121279422495669</v>
      </c>
      <c r="R2">
        <v>-0.39301572149818764</v>
      </c>
      <c r="S2">
        <v>0.49895522256702052</v>
      </c>
      <c r="T2">
        <v>0.3675130637115096</v>
      </c>
    </row>
    <row r="3" spans="1:20" x14ac:dyDescent="0.2">
      <c r="A3" t="s">
        <v>1</v>
      </c>
      <c r="B3">
        <v>0.74209372874837232</v>
      </c>
      <c r="C3">
        <v>1</v>
      </c>
      <c r="D3">
        <v>0.67096561264570265</v>
      </c>
      <c r="E3">
        <v>0.80561452907766284</v>
      </c>
      <c r="F3">
        <v>0.6720754192037881</v>
      </c>
      <c r="G3">
        <v>0.84187201857440208</v>
      </c>
      <c r="H3">
        <v>0.6849367435522824</v>
      </c>
      <c r="I3">
        <v>0.43710756314352345</v>
      </c>
      <c r="J3">
        <v>0.65211393121602768</v>
      </c>
      <c r="K3">
        <v>0.40540934766320391</v>
      </c>
      <c r="L3">
        <v>0.45788331383935477</v>
      </c>
      <c r="M3">
        <v>0.56672533689044258</v>
      </c>
      <c r="N3">
        <v>0.44717625448645149</v>
      </c>
      <c r="O3">
        <v>0.66664087802371741</v>
      </c>
      <c r="P3">
        <v>0.67684243104959207</v>
      </c>
      <c r="Q3">
        <v>-0.32612304570015793</v>
      </c>
      <c r="R3">
        <v>-0.56867321081124456</v>
      </c>
      <c r="S3">
        <v>0.62073815183978986</v>
      </c>
      <c r="T3">
        <v>0.51627057626791639</v>
      </c>
    </row>
    <row r="4" spans="1:20" x14ac:dyDescent="0.2">
      <c r="A4" t="s">
        <v>2</v>
      </c>
      <c r="B4">
        <v>0.64527555890791555</v>
      </c>
      <c r="C4">
        <v>0.67096561264570265</v>
      </c>
      <c r="D4">
        <v>1</v>
      </c>
      <c r="E4">
        <v>0.54656646799752839</v>
      </c>
      <c r="F4">
        <v>0.94561400932628215</v>
      </c>
      <c r="G4">
        <v>0.87802830890138273</v>
      </c>
      <c r="H4">
        <v>0.9615292684865252</v>
      </c>
      <c r="I4">
        <v>0.15067747613983237</v>
      </c>
      <c r="J4">
        <v>0.91827181678978942</v>
      </c>
      <c r="K4">
        <v>0.30839266871718413</v>
      </c>
      <c r="L4">
        <v>0.4215599131055579</v>
      </c>
      <c r="M4">
        <v>0.6500696396159904</v>
      </c>
      <c r="N4">
        <v>0.84652382019246153</v>
      </c>
      <c r="O4">
        <v>0.89799747360700777</v>
      </c>
      <c r="P4">
        <v>0.89571852867817781</v>
      </c>
      <c r="Q4">
        <v>-0.33603715070335738</v>
      </c>
      <c r="R4">
        <v>-0.20264354045220825</v>
      </c>
      <c r="S4">
        <v>0.43941938936697522</v>
      </c>
      <c r="T4">
        <v>0.2980944735718945</v>
      </c>
    </row>
    <row r="5" spans="1:20" x14ac:dyDescent="0.2">
      <c r="A5" t="s">
        <v>4</v>
      </c>
      <c r="B5">
        <v>0.69592891055480222</v>
      </c>
      <c r="C5">
        <v>0.80561452907766284</v>
      </c>
      <c r="D5">
        <v>0.54656646799752839</v>
      </c>
      <c r="E5">
        <v>1</v>
      </c>
      <c r="F5">
        <v>0.53831151523600729</v>
      </c>
      <c r="G5">
        <v>0.70256608353198891</v>
      </c>
      <c r="H5">
        <v>0.55307086566566865</v>
      </c>
      <c r="I5">
        <v>0.25134441896242404</v>
      </c>
      <c r="J5">
        <v>0.50228965666348968</v>
      </c>
      <c r="K5">
        <v>0.56839800296480358</v>
      </c>
      <c r="L5">
        <v>0.60326782624055508</v>
      </c>
      <c r="M5">
        <v>0.65198428165749744</v>
      </c>
      <c r="N5">
        <v>0.32475118318813223</v>
      </c>
      <c r="O5">
        <v>0.49668289177496378</v>
      </c>
      <c r="P5">
        <v>0.5285879090572787</v>
      </c>
      <c r="Q5">
        <v>-0.18423122876187553</v>
      </c>
      <c r="R5">
        <v>-0.64237169145126172</v>
      </c>
      <c r="S5">
        <v>0.716559833457172</v>
      </c>
      <c r="T5">
        <v>0.63418148531014729</v>
      </c>
    </row>
    <row r="6" spans="1:20" x14ac:dyDescent="0.2">
      <c r="A6" t="s">
        <v>5</v>
      </c>
      <c r="B6">
        <v>0.61616606955935349</v>
      </c>
      <c r="C6">
        <v>0.6720754192037881</v>
      </c>
      <c r="D6">
        <v>0.94561400932628215</v>
      </c>
      <c r="E6">
        <v>0.53831151523600729</v>
      </c>
      <c r="F6">
        <v>1</v>
      </c>
      <c r="G6">
        <v>0.93066506401697935</v>
      </c>
      <c r="H6">
        <v>0.99581834073954112</v>
      </c>
      <c r="I6">
        <v>0.27622296770916943</v>
      </c>
      <c r="J6">
        <v>0.99368732022627959</v>
      </c>
      <c r="K6">
        <v>0.3099782320257386</v>
      </c>
      <c r="L6">
        <v>0.37078353477719089</v>
      </c>
      <c r="M6">
        <v>0.60070325886879494</v>
      </c>
      <c r="N6">
        <v>0.92424630184528045</v>
      </c>
      <c r="O6">
        <v>0.97173762060699287</v>
      </c>
      <c r="P6">
        <v>0.98180859124879949</v>
      </c>
      <c r="Q6">
        <v>-0.46600868661262279</v>
      </c>
      <c r="R6">
        <v>-0.19937563686832235</v>
      </c>
      <c r="S6">
        <v>0.44066025197971592</v>
      </c>
      <c r="T6">
        <v>0.3034372575831023</v>
      </c>
    </row>
    <row r="7" spans="1:20" x14ac:dyDescent="0.2">
      <c r="A7" t="s">
        <v>6</v>
      </c>
      <c r="B7">
        <v>0.74131938497187044</v>
      </c>
      <c r="C7">
        <v>0.84187201857440208</v>
      </c>
      <c r="D7">
        <v>0.87802830890138273</v>
      </c>
      <c r="E7">
        <v>0.70256608353198891</v>
      </c>
      <c r="F7">
        <v>0.93066506401697935</v>
      </c>
      <c r="G7">
        <v>1</v>
      </c>
      <c r="H7">
        <v>0.93047618236855645</v>
      </c>
      <c r="I7">
        <v>0.41435639636349575</v>
      </c>
      <c r="J7">
        <v>0.91989927248269754</v>
      </c>
      <c r="K7">
        <v>0.33492182090966705</v>
      </c>
      <c r="L7">
        <v>0.39075432617424466</v>
      </c>
      <c r="M7">
        <v>0.59025980598962702</v>
      </c>
      <c r="N7">
        <v>0.77321032345833463</v>
      </c>
      <c r="O7">
        <v>0.91400032464136183</v>
      </c>
      <c r="P7">
        <v>0.91232318229810117</v>
      </c>
      <c r="Q7">
        <v>-0.44761202208613182</v>
      </c>
      <c r="R7">
        <v>-0.41786233119803184</v>
      </c>
      <c r="S7">
        <v>0.55363314327918989</v>
      </c>
      <c r="T7">
        <v>0.41020412588672639</v>
      </c>
    </row>
    <row r="8" spans="1:20" x14ac:dyDescent="0.2">
      <c r="A8" t="s">
        <v>7</v>
      </c>
      <c r="B8">
        <v>0.64081364293971377</v>
      </c>
      <c r="C8">
        <v>0.6849367435522824</v>
      </c>
      <c r="D8">
        <v>0.9615292684865252</v>
      </c>
      <c r="E8">
        <v>0.55307086566566865</v>
      </c>
      <c r="F8">
        <v>0.99581834073954112</v>
      </c>
      <c r="G8">
        <v>0.93047618236855645</v>
      </c>
      <c r="H8">
        <v>1</v>
      </c>
      <c r="I8">
        <v>0.24086591831278165</v>
      </c>
      <c r="J8">
        <v>0.98455073013162464</v>
      </c>
      <c r="K8">
        <v>0.31431543941140822</v>
      </c>
      <c r="L8">
        <v>0.38323118504838855</v>
      </c>
      <c r="M8">
        <v>0.61835128269913531</v>
      </c>
      <c r="N8">
        <v>0.9154258940325114</v>
      </c>
      <c r="O8">
        <v>0.96224240255343441</v>
      </c>
      <c r="P8">
        <v>0.96935964449360534</v>
      </c>
      <c r="Q8">
        <v>-0.42854584819993174</v>
      </c>
      <c r="R8">
        <v>-0.21820238856292432</v>
      </c>
      <c r="S8">
        <v>0.42683191871940779</v>
      </c>
      <c r="T8">
        <v>0.28396193374042911</v>
      </c>
    </row>
    <row r="9" spans="1:20" x14ac:dyDescent="0.2">
      <c r="A9" t="s">
        <v>8</v>
      </c>
      <c r="B9">
        <v>0.29846032067717415</v>
      </c>
      <c r="C9">
        <v>0.43710756314352345</v>
      </c>
      <c r="D9">
        <v>0.15067747613983237</v>
      </c>
      <c r="E9">
        <v>0.25134441896242404</v>
      </c>
      <c r="F9">
        <v>0.27622296770916943</v>
      </c>
      <c r="G9">
        <v>0.41435639636349575</v>
      </c>
      <c r="H9">
        <v>0.24086591831278165</v>
      </c>
      <c r="I9">
        <v>1</v>
      </c>
      <c r="J9">
        <v>0.31687858939657376</v>
      </c>
      <c r="K9">
        <v>-0.19971053075842268</v>
      </c>
      <c r="L9">
        <v>-0.2822645035001507</v>
      </c>
      <c r="M9">
        <v>-0.20139890279854281</v>
      </c>
      <c r="N9">
        <v>0.16982841354078437</v>
      </c>
      <c r="O9">
        <v>0.35499451803530724</v>
      </c>
      <c r="P9">
        <v>0.33676245496352214</v>
      </c>
      <c r="Q9">
        <v>-0.57601878184274413</v>
      </c>
      <c r="R9">
        <v>-2.0199101992740713E-2</v>
      </c>
      <c r="S9">
        <v>0.1302249952348519</v>
      </c>
      <c r="T9">
        <v>0.10698317731590405</v>
      </c>
    </row>
    <row r="10" spans="1:20" x14ac:dyDescent="0.2">
      <c r="A10" t="s">
        <v>9</v>
      </c>
      <c r="B10">
        <v>0.58781558541164947</v>
      </c>
      <c r="C10">
        <v>0.65211393121602768</v>
      </c>
      <c r="D10">
        <v>0.91827181678978942</v>
      </c>
      <c r="E10">
        <v>0.50228965666348968</v>
      </c>
      <c r="F10">
        <v>0.99368732022627959</v>
      </c>
      <c r="G10">
        <v>0.91989927248269754</v>
      </c>
      <c r="H10">
        <v>0.98455073013162464</v>
      </c>
      <c r="I10">
        <v>0.31687858939657376</v>
      </c>
      <c r="J10">
        <v>1</v>
      </c>
      <c r="K10">
        <v>0.26079008516531982</v>
      </c>
      <c r="L10">
        <v>0.31236544603781752</v>
      </c>
      <c r="M10">
        <v>0.54120248944602456</v>
      </c>
      <c r="N10">
        <v>0.9329532216612203</v>
      </c>
      <c r="O10">
        <v>0.98291508409043149</v>
      </c>
      <c r="P10">
        <v>0.99267584101737405</v>
      </c>
      <c r="Q10">
        <v>-0.53312208114747395</v>
      </c>
      <c r="R10">
        <v>-0.14695154220741766</v>
      </c>
      <c r="S10">
        <v>0.39140945687548478</v>
      </c>
      <c r="T10">
        <v>0.2562835652390828</v>
      </c>
    </row>
    <row r="11" spans="1:20" x14ac:dyDescent="0.2">
      <c r="A11" t="s">
        <v>10</v>
      </c>
      <c r="B11">
        <v>0.35179983214521898</v>
      </c>
      <c r="C11">
        <v>0.40540934766320391</v>
      </c>
      <c r="D11">
        <v>0.30839266871718413</v>
      </c>
      <c r="E11">
        <v>0.56839800296480358</v>
      </c>
      <c r="F11">
        <v>0.3099782320257386</v>
      </c>
      <c r="G11">
        <v>0.33492182090966705</v>
      </c>
      <c r="H11">
        <v>0.31431543941140822</v>
      </c>
      <c r="I11">
        <v>-0.19971053075842268</v>
      </c>
      <c r="J11">
        <v>0.26079008516531982</v>
      </c>
      <c r="K11">
        <v>1</v>
      </c>
      <c r="L11">
        <v>0.87523736179453204</v>
      </c>
      <c r="M11">
        <v>0.8707979558957688</v>
      </c>
      <c r="N11">
        <v>0.17345777858584221</v>
      </c>
      <c r="O11">
        <v>0.2521009037777644</v>
      </c>
      <c r="P11">
        <v>0.28956533760977854</v>
      </c>
      <c r="Q11">
        <v>0.11477896437331775</v>
      </c>
      <c r="R11">
        <v>-0.54677941666234298</v>
      </c>
      <c r="S11">
        <v>0.75872503934376145</v>
      </c>
      <c r="T11">
        <v>0.74002958939858465</v>
      </c>
    </row>
    <row r="12" spans="1:20" x14ac:dyDescent="0.2">
      <c r="A12" t="s">
        <v>11</v>
      </c>
      <c r="B12">
        <v>0.36131901925872889</v>
      </c>
      <c r="C12">
        <v>0.45788331383935477</v>
      </c>
      <c r="D12">
        <v>0.4215599131055579</v>
      </c>
      <c r="E12">
        <v>0.60326782624055508</v>
      </c>
      <c r="F12">
        <v>0.37078353477719089</v>
      </c>
      <c r="G12">
        <v>0.39075432617424466</v>
      </c>
      <c r="H12">
        <v>0.38323118504838855</v>
      </c>
      <c r="I12">
        <v>-0.2822645035001507</v>
      </c>
      <c r="J12">
        <v>0.31236544603781752</v>
      </c>
      <c r="K12">
        <v>0.87523736179453204</v>
      </c>
      <c r="L12">
        <v>1</v>
      </c>
      <c r="M12">
        <v>0.90026441526234569</v>
      </c>
      <c r="N12">
        <v>0.23288343866306269</v>
      </c>
      <c r="O12">
        <v>0.30125955737630988</v>
      </c>
      <c r="P12">
        <v>0.33352963813335573</v>
      </c>
      <c r="Q12">
        <v>0.13543126231860378</v>
      </c>
      <c r="R12">
        <v>-0.5337855145492687</v>
      </c>
      <c r="S12">
        <v>0.74058606199892318</v>
      </c>
      <c r="T12">
        <v>0.73080751238934538</v>
      </c>
    </row>
    <row r="13" spans="1:20" x14ac:dyDescent="0.2">
      <c r="A13" t="s">
        <v>12</v>
      </c>
      <c r="B13">
        <v>0.52342059054634038</v>
      </c>
      <c r="C13">
        <v>0.56672533689044258</v>
      </c>
      <c r="D13">
        <v>0.6500696396159904</v>
      </c>
      <c r="E13">
        <v>0.65198428165749744</v>
      </c>
      <c r="F13">
        <v>0.60070325886879494</v>
      </c>
      <c r="G13">
        <v>0.59025980598962702</v>
      </c>
      <c r="H13">
        <v>0.61835128269913531</v>
      </c>
      <c r="I13">
        <v>-0.20139890279854281</v>
      </c>
      <c r="J13">
        <v>0.54120248944602456</v>
      </c>
      <c r="K13">
        <v>0.8707979558957688</v>
      </c>
      <c r="L13">
        <v>0.90026441526234569</v>
      </c>
      <c r="M13">
        <v>1</v>
      </c>
      <c r="N13">
        <v>0.44819383846098432</v>
      </c>
      <c r="O13">
        <v>0.52785503424262359</v>
      </c>
      <c r="P13">
        <v>0.54860160547382919</v>
      </c>
      <c r="Q13">
        <v>-2.2670681774305208E-2</v>
      </c>
      <c r="R13">
        <v>-0.48709779993447483</v>
      </c>
      <c r="S13">
        <v>0.78229312491545189</v>
      </c>
      <c r="T13">
        <v>0.71120256180705954</v>
      </c>
    </row>
    <row r="14" spans="1:20" x14ac:dyDescent="0.2">
      <c r="A14" t="s">
        <v>13</v>
      </c>
      <c r="B14">
        <v>0.41214548397495082</v>
      </c>
      <c r="C14">
        <v>0.44717625448645149</v>
      </c>
      <c r="D14">
        <v>0.84652382019246153</v>
      </c>
      <c r="E14">
        <v>0.32475118318813223</v>
      </c>
      <c r="F14">
        <v>0.92424630184528045</v>
      </c>
      <c r="G14">
        <v>0.77321032345833463</v>
      </c>
      <c r="H14">
        <v>0.9154258940325114</v>
      </c>
      <c r="I14">
        <v>0.16982841354078437</v>
      </c>
      <c r="J14">
        <v>0.9329532216612203</v>
      </c>
      <c r="K14">
        <v>0.17345777858584221</v>
      </c>
      <c r="L14">
        <v>0.23288343866306269</v>
      </c>
      <c r="M14">
        <v>0.44819383846098432</v>
      </c>
      <c r="N14">
        <v>1</v>
      </c>
      <c r="O14">
        <v>0.89019970189420905</v>
      </c>
      <c r="P14">
        <v>0.92689101789595429</v>
      </c>
      <c r="Q14">
        <v>-0.40822434192265838</v>
      </c>
      <c r="R14">
        <v>-2.5310793861930039E-2</v>
      </c>
      <c r="S14">
        <v>0.21161800287647778</v>
      </c>
      <c r="T14">
        <v>7.087406306090932E-2</v>
      </c>
    </row>
    <row r="15" spans="1:20" x14ac:dyDescent="0.2">
      <c r="A15" t="s">
        <v>14</v>
      </c>
      <c r="B15">
        <v>0.58374119885545395</v>
      </c>
      <c r="C15">
        <v>0.66664087802371741</v>
      </c>
      <c r="D15">
        <v>0.89799747360700777</v>
      </c>
      <c r="E15">
        <v>0.49668289177496378</v>
      </c>
      <c r="F15">
        <v>0.97173762060699287</v>
      </c>
      <c r="G15">
        <v>0.91400032464136183</v>
      </c>
      <c r="H15">
        <v>0.96224240255343441</v>
      </c>
      <c r="I15">
        <v>0.35499451803530724</v>
      </c>
      <c r="J15">
        <v>0.98291508409043149</v>
      </c>
      <c r="K15">
        <v>0.2521009037777644</v>
      </c>
      <c r="L15">
        <v>0.30125955737630988</v>
      </c>
      <c r="M15">
        <v>0.52785503424262359</v>
      </c>
      <c r="N15">
        <v>0.89019970189420905</v>
      </c>
      <c r="O15">
        <v>1</v>
      </c>
      <c r="P15">
        <v>0.9766260386380744</v>
      </c>
      <c r="Q15">
        <v>-0.57087790802923977</v>
      </c>
      <c r="R15">
        <v>-0.13615409425497621</v>
      </c>
      <c r="S15">
        <v>0.3989664065490906</v>
      </c>
      <c r="T15">
        <v>0.28739624758043619</v>
      </c>
    </row>
    <row r="16" spans="1:20" x14ac:dyDescent="0.2">
      <c r="A16" t="s">
        <v>15</v>
      </c>
      <c r="B16">
        <v>0.57819416947018487</v>
      </c>
      <c r="C16">
        <v>0.67684243104959207</v>
      </c>
      <c r="D16">
        <v>0.89571852867817781</v>
      </c>
      <c r="E16">
        <v>0.5285879090572787</v>
      </c>
      <c r="F16">
        <v>0.98180859124879949</v>
      </c>
      <c r="G16">
        <v>0.91232318229810117</v>
      </c>
      <c r="H16">
        <v>0.96935964449360534</v>
      </c>
      <c r="I16">
        <v>0.33676245496352214</v>
      </c>
      <c r="J16">
        <v>0.99267584101737405</v>
      </c>
      <c r="K16">
        <v>0.28956533760977854</v>
      </c>
      <c r="L16">
        <v>0.33352963813335573</v>
      </c>
      <c r="M16">
        <v>0.54860160547382919</v>
      </c>
      <c r="N16">
        <v>0.92689101789595429</v>
      </c>
      <c r="O16">
        <v>0.9766260386380744</v>
      </c>
      <c r="P16">
        <v>1</v>
      </c>
      <c r="Q16">
        <v>-0.56066499828474581</v>
      </c>
      <c r="R16">
        <v>-0.15376958422184381</v>
      </c>
      <c r="S16">
        <v>0.41997964525533876</v>
      </c>
      <c r="T16">
        <v>0.2897655277033746</v>
      </c>
    </row>
    <row r="17" spans="1:20" x14ac:dyDescent="0.2">
      <c r="A17" t="s">
        <v>16</v>
      </c>
      <c r="B17">
        <v>-0.26121279422495669</v>
      </c>
      <c r="C17">
        <v>-0.32612304570015793</v>
      </c>
      <c r="D17">
        <v>-0.33603715070335738</v>
      </c>
      <c r="E17">
        <v>-0.18423122876187553</v>
      </c>
      <c r="F17">
        <v>-0.46600868661262279</v>
      </c>
      <c r="G17">
        <v>-0.44761202208613182</v>
      </c>
      <c r="H17">
        <v>-0.42854584819993174</v>
      </c>
      <c r="I17">
        <v>-0.57601878184274413</v>
      </c>
      <c r="J17">
        <v>-0.53312208114747395</v>
      </c>
      <c r="K17">
        <v>0.11477896437331775</v>
      </c>
      <c r="L17">
        <v>0.13543126231860378</v>
      </c>
      <c r="M17">
        <v>-2.2670681774305208E-2</v>
      </c>
      <c r="N17">
        <v>-0.40822434192265838</v>
      </c>
      <c r="O17">
        <v>-0.57087790802923977</v>
      </c>
      <c r="P17">
        <v>-0.56066499828474581</v>
      </c>
      <c r="Q17">
        <v>1</v>
      </c>
      <c r="R17">
        <v>-0.33972958322346147</v>
      </c>
      <c r="S17">
        <v>-0.14903408201393931</v>
      </c>
      <c r="T17">
        <v>-5.9933330180694439E-2</v>
      </c>
    </row>
    <row r="18" spans="1:20" x14ac:dyDescent="0.2">
      <c r="A18" t="s">
        <v>17</v>
      </c>
      <c r="B18">
        <v>-0.39301572149818764</v>
      </c>
      <c r="C18">
        <v>-0.56867321081124456</v>
      </c>
      <c r="D18">
        <v>-0.20264354045220825</v>
      </c>
      <c r="E18">
        <v>-0.64237169145126172</v>
      </c>
      <c r="F18">
        <v>-0.19937563686832235</v>
      </c>
      <c r="G18">
        <v>-0.41786233119803184</v>
      </c>
      <c r="H18">
        <v>-0.21820238856292432</v>
      </c>
      <c r="I18">
        <v>-2.0199101992740713E-2</v>
      </c>
      <c r="J18">
        <v>-0.14695154220741766</v>
      </c>
      <c r="K18">
        <v>-0.54677941666234298</v>
      </c>
      <c r="L18">
        <v>-0.5337855145492687</v>
      </c>
      <c r="M18">
        <v>-0.48709779993447483</v>
      </c>
      <c r="N18">
        <v>-2.5310793861930039E-2</v>
      </c>
      <c r="O18">
        <v>-0.13615409425497621</v>
      </c>
      <c r="P18">
        <v>-0.15376958422184381</v>
      </c>
      <c r="Q18">
        <v>-0.33972958322346147</v>
      </c>
      <c r="R18">
        <v>1</v>
      </c>
      <c r="S18">
        <v>-0.55144424616942334</v>
      </c>
      <c r="T18">
        <v>-0.52533537832154298</v>
      </c>
    </row>
    <row r="19" spans="1:20" x14ac:dyDescent="0.2">
      <c r="A19" t="s">
        <v>18</v>
      </c>
      <c r="B19">
        <v>0.49895522256702052</v>
      </c>
      <c r="C19">
        <v>0.62073815183978986</v>
      </c>
      <c r="D19">
        <v>0.43941938936697522</v>
      </c>
      <c r="E19">
        <v>0.716559833457172</v>
      </c>
      <c r="F19">
        <v>0.44066025197971592</v>
      </c>
      <c r="G19">
        <v>0.55363314327918989</v>
      </c>
      <c r="H19">
        <v>0.42683191871940779</v>
      </c>
      <c r="I19">
        <v>0.1302249952348519</v>
      </c>
      <c r="J19">
        <v>0.39140945687548478</v>
      </c>
      <c r="K19">
        <v>0.75872503934376145</v>
      </c>
      <c r="L19">
        <v>0.74058606199892318</v>
      </c>
      <c r="M19">
        <v>0.78229312491545189</v>
      </c>
      <c r="N19">
        <v>0.21161800287647778</v>
      </c>
      <c r="O19">
        <v>0.3989664065490906</v>
      </c>
      <c r="P19">
        <v>0.41997964525533876</v>
      </c>
      <c r="Q19">
        <v>-0.14903408201393931</v>
      </c>
      <c r="R19">
        <v>-0.55144424616942334</v>
      </c>
      <c r="S19">
        <v>1</v>
      </c>
      <c r="T19">
        <v>0.93547929126718632</v>
      </c>
    </row>
    <row r="20" spans="1:20" ht="16" thickBot="1" x14ac:dyDescent="0.25">
      <c r="A20" s="2" t="s">
        <v>19</v>
      </c>
      <c r="B20">
        <v>0.3675130637115096</v>
      </c>
      <c r="C20">
        <v>0.51627057626791639</v>
      </c>
      <c r="D20">
        <v>0.2980944735718945</v>
      </c>
      <c r="E20">
        <v>0.63418148531014729</v>
      </c>
      <c r="F20">
        <v>0.3034372575831023</v>
      </c>
      <c r="G20">
        <v>0.41020412588672639</v>
      </c>
      <c r="H20">
        <v>0.28396193374042911</v>
      </c>
      <c r="I20">
        <v>0.10698317731590405</v>
      </c>
      <c r="J20">
        <v>0.2562835652390828</v>
      </c>
      <c r="K20">
        <v>0.74002958939858465</v>
      </c>
      <c r="L20">
        <v>0.73080751238934538</v>
      </c>
      <c r="M20">
        <v>0.71120256180705954</v>
      </c>
      <c r="N20">
        <v>7.087406306090932E-2</v>
      </c>
      <c r="O20">
        <v>0.28739624758043619</v>
      </c>
      <c r="P20">
        <v>0.2897655277033746</v>
      </c>
      <c r="Q20">
        <v>-5.9933330180694439E-2</v>
      </c>
      <c r="R20">
        <v>-0.52533537832154298</v>
      </c>
      <c r="S20">
        <v>0.93547929126718632</v>
      </c>
      <c r="T20">
        <v>1</v>
      </c>
    </row>
  </sheetData>
  <conditionalFormatting sqref="B2:T20">
    <cfRule type="colorScale" priority="1">
      <colorScale>
        <cfvo type="num" val="-1"/>
        <cfvo type="num" val="0"/>
        <cfvo type="num" val="1"/>
        <color rgb="FF00B0F0"/>
        <color theme="0"/>
        <color rgb="FF00B050"/>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44784-8383-234E-84BD-16F9E253C4F6}">
  <sheetPr codeName="Sheet10" filterMode="1"/>
  <dimension ref="A1:C379"/>
  <sheetViews>
    <sheetView workbookViewId="0">
      <selection sqref="A1:C340"/>
    </sheetView>
  </sheetViews>
  <sheetFormatPr baseColWidth="10" defaultRowHeight="15" x14ac:dyDescent="0.2"/>
  <cols>
    <col min="1" max="1" width="80.6640625" bestFit="1" customWidth="1"/>
    <col min="2" max="2" width="62.33203125" bestFit="1" customWidth="1"/>
    <col min="3" max="3" width="57.83203125" style="10" bestFit="1" customWidth="1"/>
  </cols>
  <sheetData>
    <row r="1" spans="1:3" x14ac:dyDescent="0.2">
      <c r="A1" t="s">
        <v>22</v>
      </c>
      <c r="B1" t="s">
        <v>21</v>
      </c>
      <c r="C1" s="4" t="s">
        <v>20</v>
      </c>
    </row>
    <row r="2" spans="1:3" x14ac:dyDescent="0.2">
      <c r="A2" s="4" t="s">
        <v>1</v>
      </c>
      <c r="B2" s="4" t="s">
        <v>3</v>
      </c>
      <c r="C2" s="10">
        <v>0.74209372900000004</v>
      </c>
    </row>
    <row r="3" spans="1:3" x14ac:dyDescent="0.2">
      <c r="A3" s="4" t="s">
        <v>2</v>
      </c>
      <c r="B3" s="4" t="s">
        <v>3</v>
      </c>
      <c r="C3" s="10">
        <v>0.645275559</v>
      </c>
    </row>
    <row r="4" spans="1:3" x14ac:dyDescent="0.2">
      <c r="A4" s="4" t="s">
        <v>4</v>
      </c>
      <c r="B4" s="4" t="s">
        <v>3</v>
      </c>
      <c r="C4" s="10">
        <v>0.69592891099999998</v>
      </c>
    </row>
    <row r="5" spans="1:3" x14ac:dyDescent="0.2">
      <c r="A5" s="4" t="s">
        <v>5</v>
      </c>
      <c r="B5" s="4" t="s">
        <v>3</v>
      </c>
      <c r="C5" s="10">
        <v>0.61616607000000001</v>
      </c>
    </row>
    <row r="6" spans="1:3" x14ac:dyDescent="0.2">
      <c r="A6" s="4" t="s">
        <v>6</v>
      </c>
      <c r="B6" s="4" t="s">
        <v>3</v>
      </c>
      <c r="C6" s="10">
        <v>0.74131938500000005</v>
      </c>
    </row>
    <row r="7" spans="1:3" x14ac:dyDescent="0.2">
      <c r="A7" s="4" t="s">
        <v>7</v>
      </c>
      <c r="B7" s="4" t="s">
        <v>3</v>
      </c>
      <c r="C7" s="10">
        <v>0.64081364299999999</v>
      </c>
    </row>
    <row r="8" spans="1:3" x14ac:dyDescent="0.2">
      <c r="A8" s="4" t="s">
        <v>8</v>
      </c>
      <c r="B8" s="4" t="s">
        <v>3</v>
      </c>
      <c r="C8" s="10">
        <v>0.29846032099999997</v>
      </c>
    </row>
    <row r="9" spans="1:3" x14ac:dyDescent="0.2">
      <c r="A9" s="4" t="s">
        <v>9</v>
      </c>
      <c r="B9" s="4" t="s">
        <v>3</v>
      </c>
      <c r="C9" s="10">
        <v>0.58781558499999997</v>
      </c>
    </row>
    <row r="10" spans="1:3" x14ac:dyDescent="0.2">
      <c r="A10" s="4" t="s">
        <v>10</v>
      </c>
      <c r="B10" s="4" t="s">
        <v>3</v>
      </c>
      <c r="C10" s="10">
        <v>0.35179983199999998</v>
      </c>
    </row>
    <row r="11" spans="1:3" x14ac:dyDescent="0.2">
      <c r="A11" s="4" t="s">
        <v>11</v>
      </c>
      <c r="B11" s="4" t="s">
        <v>3</v>
      </c>
      <c r="C11" s="10">
        <v>0.36131901900000002</v>
      </c>
    </row>
    <row r="12" spans="1:3" x14ac:dyDescent="0.2">
      <c r="A12" s="4" t="s">
        <v>12</v>
      </c>
      <c r="B12" s="4" t="s">
        <v>3</v>
      </c>
      <c r="C12" s="10">
        <v>0.52342059100000005</v>
      </c>
    </row>
    <row r="13" spans="1:3" x14ac:dyDescent="0.2">
      <c r="A13" s="4" t="s">
        <v>13</v>
      </c>
      <c r="B13" s="4" t="s">
        <v>3</v>
      </c>
      <c r="C13" s="10">
        <v>0.41214548400000001</v>
      </c>
    </row>
    <row r="14" spans="1:3" x14ac:dyDescent="0.2">
      <c r="A14" s="4" t="s">
        <v>14</v>
      </c>
      <c r="B14" s="4" t="s">
        <v>3</v>
      </c>
      <c r="C14" s="10">
        <v>0.58374119899999999</v>
      </c>
    </row>
    <row r="15" spans="1:3" x14ac:dyDescent="0.2">
      <c r="A15" s="4" t="s">
        <v>15</v>
      </c>
      <c r="B15" s="4" t="s">
        <v>3</v>
      </c>
      <c r="C15" s="10">
        <v>0.57819416899999998</v>
      </c>
    </row>
    <row r="16" spans="1:3" x14ac:dyDescent="0.2">
      <c r="A16" s="4" t="s">
        <v>16</v>
      </c>
      <c r="B16" s="4" t="s">
        <v>3</v>
      </c>
      <c r="C16" s="10">
        <v>-0.26121279400000003</v>
      </c>
    </row>
    <row r="17" spans="1:3" x14ac:dyDescent="0.2">
      <c r="A17" s="4" t="s">
        <v>17</v>
      </c>
      <c r="B17" s="4" t="s">
        <v>3</v>
      </c>
      <c r="C17" s="10">
        <v>-0.39301572099999998</v>
      </c>
    </row>
    <row r="18" spans="1:3" x14ac:dyDescent="0.2">
      <c r="A18" s="4" t="s">
        <v>18</v>
      </c>
      <c r="B18" s="4" t="s">
        <v>3</v>
      </c>
      <c r="C18" s="10">
        <v>0.498955223</v>
      </c>
    </row>
    <row r="19" spans="1:3" x14ac:dyDescent="0.2">
      <c r="A19" s="4" t="s">
        <v>19</v>
      </c>
      <c r="B19" s="4" t="s">
        <v>3</v>
      </c>
      <c r="C19" s="10">
        <v>0.367513064</v>
      </c>
    </row>
    <row r="20" spans="1:3" x14ac:dyDescent="0.2">
      <c r="A20" s="4" t="s">
        <v>2</v>
      </c>
      <c r="B20" s="4" t="s">
        <v>1</v>
      </c>
      <c r="C20" s="10">
        <v>0.67096561300000002</v>
      </c>
    </row>
    <row r="21" spans="1:3" x14ac:dyDescent="0.2">
      <c r="A21" s="4" t="s">
        <v>4</v>
      </c>
      <c r="B21" s="4" t="s">
        <v>1</v>
      </c>
      <c r="C21" s="10">
        <v>0.80561452899999997</v>
      </c>
    </row>
    <row r="22" spans="1:3" x14ac:dyDescent="0.2">
      <c r="A22" s="4" t="s">
        <v>5</v>
      </c>
      <c r="B22" s="4" t="s">
        <v>1</v>
      </c>
      <c r="C22" s="10">
        <v>0.67207541900000001</v>
      </c>
    </row>
    <row r="23" spans="1:3" x14ac:dyDescent="0.2">
      <c r="A23" s="4" t="s">
        <v>6</v>
      </c>
      <c r="B23" s="4" t="s">
        <v>1</v>
      </c>
      <c r="C23" s="10">
        <v>0.84187201899999997</v>
      </c>
    </row>
    <row r="24" spans="1:3" x14ac:dyDescent="0.2">
      <c r="A24" s="4" t="s">
        <v>7</v>
      </c>
      <c r="B24" s="4" t="s">
        <v>1</v>
      </c>
      <c r="C24" s="10">
        <v>0.68493674400000004</v>
      </c>
    </row>
    <row r="25" spans="1:3" x14ac:dyDescent="0.2">
      <c r="A25" s="4" t="s">
        <v>8</v>
      </c>
      <c r="B25" s="4" t="s">
        <v>1</v>
      </c>
      <c r="C25" s="10">
        <v>0.43710756299999998</v>
      </c>
    </row>
    <row r="26" spans="1:3" x14ac:dyDescent="0.2">
      <c r="A26" s="4" t="s">
        <v>9</v>
      </c>
      <c r="B26" s="4" t="s">
        <v>1</v>
      </c>
      <c r="C26" s="10">
        <v>0.65211393100000004</v>
      </c>
    </row>
    <row r="27" spans="1:3" x14ac:dyDescent="0.2">
      <c r="A27" s="4" t="s">
        <v>10</v>
      </c>
      <c r="B27" s="4" t="s">
        <v>1</v>
      </c>
      <c r="C27" s="10">
        <v>0.405409348</v>
      </c>
    </row>
    <row r="28" spans="1:3" x14ac:dyDescent="0.2">
      <c r="A28" s="4" t="s">
        <v>11</v>
      </c>
      <c r="B28" s="4" t="s">
        <v>1</v>
      </c>
      <c r="C28" s="10">
        <v>0.45788331399999999</v>
      </c>
    </row>
    <row r="29" spans="1:3" x14ac:dyDescent="0.2">
      <c r="A29" s="4" t="s">
        <v>12</v>
      </c>
      <c r="B29" s="4" t="s">
        <v>1</v>
      </c>
      <c r="C29" s="10">
        <v>0.56672533700000005</v>
      </c>
    </row>
    <row r="30" spans="1:3" x14ac:dyDescent="0.2">
      <c r="A30" s="4" t="s">
        <v>13</v>
      </c>
      <c r="B30" s="4" t="s">
        <v>1</v>
      </c>
      <c r="C30" s="10">
        <v>0.447176254</v>
      </c>
    </row>
    <row r="31" spans="1:3" x14ac:dyDescent="0.2">
      <c r="A31" s="4" t="s">
        <v>14</v>
      </c>
      <c r="B31" s="4" t="s">
        <v>1</v>
      </c>
      <c r="C31" s="10">
        <v>0.66664087800000005</v>
      </c>
    </row>
    <row r="32" spans="1:3" x14ac:dyDescent="0.2">
      <c r="A32" s="4" t="s">
        <v>15</v>
      </c>
      <c r="B32" s="4" t="s">
        <v>1</v>
      </c>
      <c r="C32" s="10">
        <v>0.67684243099999997</v>
      </c>
    </row>
    <row r="33" spans="1:3" x14ac:dyDescent="0.2">
      <c r="A33" s="4" t="s">
        <v>16</v>
      </c>
      <c r="B33" s="4" t="s">
        <v>1</v>
      </c>
      <c r="C33" s="10">
        <v>-0.32612304600000003</v>
      </c>
    </row>
    <row r="34" spans="1:3" x14ac:dyDescent="0.2">
      <c r="A34" s="4" t="s">
        <v>17</v>
      </c>
      <c r="B34" s="4" t="s">
        <v>1</v>
      </c>
      <c r="C34" s="10">
        <v>-0.56867321100000001</v>
      </c>
    </row>
    <row r="35" spans="1:3" x14ac:dyDescent="0.2">
      <c r="A35" s="4" t="s">
        <v>18</v>
      </c>
      <c r="B35" s="4" t="s">
        <v>1</v>
      </c>
      <c r="C35" s="10">
        <v>0.62073815200000004</v>
      </c>
    </row>
    <row r="36" spans="1:3" x14ac:dyDescent="0.2">
      <c r="A36" s="4" t="s">
        <v>19</v>
      </c>
      <c r="B36" s="4" t="s">
        <v>1</v>
      </c>
      <c r="C36" s="10">
        <v>0.51627057600000004</v>
      </c>
    </row>
    <row r="37" spans="1:3" hidden="1" x14ac:dyDescent="0.2">
      <c r="A37" s="4" t="s">
        <v>3</v>
      </c>
      <c r="B37" s="4" t="s">
        <v>2</v>
      </c>
      <c r="C37" s="4">
        <v>0.645275559</v>
      </c>
    </row>
    <row r="38" spans="1:3" hidden="1" x14ac:dyDescent="0.2">
      <c r="A38" s="4" t="s">
        <v>1</v>
      </c>
      <c r="B38" s="4" t="s">
        <v>2</v>
      </c>
      <c r="C38" s="4">
        <v>0.67096561300000002</v>
      </c>
    </row>
    <row r="39" spans="1:3" hidden="1" x14ac:dyDescent="0.2">
      <c r="A39" s="4" t="s">
        <v>2</v>
      </c>
      <c r="B39" s="4" t="s">
        <v>2</v>
      </c>
      <c r="C39" s="4">
        <v>1</v>
      </c>
    </row>
    <row r="40" spans="1:3" x14ac:dyDescent="0.2">
      <c r="A40" s="4" t="s">
        <v>4</v>
      </c>
      <c r="B40" s="4" t="s">
        <v>2</v>
      </c>
      <c r="C40" s="10">
        <v>0.54656646799999997</v>
      </c>
    </row>
    <row r="41" spans="1:3" x14ac:dyDescent="0.2">
      <c r="A41" s="4" t="s">
        <v>5</v>
      </c>
      <c r="B41" s="4" t="s">
        <v>2</v>
      </c>
      <c r="C41" s="10">
        <v>0.94561400900000003</v>
      </c>
    </row>
    <row r="42" spans="1:3" x14ac:dyDescent="0.2">
      <c r="A42" s="4" t="s">
        <v>6</v>
      </c>
      <c r="B42" s="4" t="s">
        <v>2</v>
      </c>
      <c r="C42" s="10">
        <v>0.87802830899999995</v>
      </c>
    </row>
    <row r="43" spans="1:3" x14ac:dyDescent="0.2">
      <c r="A43" s="4" t="s">
        <v>7</v>
      </c>
      <c r="B43" s="4" t="s">
        <v>2</v>
      </c>
      <c r="C43" s="10">
        <v>0.96152926800000005</v>
      </c>
    </row>
    <row r="44" spans="1:3" x14ac:dyDescent="0.2">
      <c r="A44" s="4" t="s">
        <v>8</v>
      </c>
      <c r="B44" s="4" t="s">
        <v>2</v>
      </c>
      <c r="C44" s="10">
        <v>0.150677476</v>
      </c>
    </row>
    <row r="45" spans="1:3" x14ac:dyDescent="0.2">
      <c r="A45" s="4" t="s">
        <v>9</v>
      </c>
      <c r="B45" s="4" t="s">
        <v>2</v>
      </c>
      <c r="C45" s="10">
        <v>0.91827181700000005</v>
      </c>
    </row>
    <row r="46" spans="1:3" x14ac:dyDescent="0.2">
      <c r="A46" s="4" t="s">
        <v>10</v>
      </c>
      <c r="B46" s="4" t="s">
        <v>2</v>
      </c>
      <c r="C46" s="10">
        <v>0.30839266900000001</v>
      </c>
    </row>
    <row r="47" spans="1:3" x14ac:dyDescent="0.2">
      <c r="A47" s="4" t="s">
        <v>11</v>
      </c>
      <c r="B47" s="4" t="s">
        <v>2</v>
      </c>
      <c r="C47" s="10">
        <v>0.42155991300000001</v>
      </c>
    </row>
    <row r="48" spans="1:3" x14ac:dyDescent="0.2">
      <c r="A48" s="4" t="s">
        <v>12</v>
      </c>
      <c r="B48" s="4" t="s">
        <v>2</v>
      </c>
      <c r="C48" s="10">
        <v>0.65006964</v>
      </c>
    </row>
    <row r="49" spans="1:3" x14ac:dyDescent="0.2">
      <c r="A49" s="4" t="s">
        <v>13</v>
      </c>
      <c r="B49" s="4" t="s">
        <v>2</v>
      </c>
      <c r="C49" s="10">
        <v>0.84652382000000004</v>
      </c>
    </row>
    <row r="50" spans="1:3" x14ac:dyDescent="0.2">
      <c r="A50" s="4" t="s">
        <v>14</v>
      </c>
      <c r="B50" s="4" t="s">
        <v>2</v>
      </c>
      <c r="C50" s="10">
        <v>0.89799747399999996</v>
      </c>
    </row>
    <row r="51" spans="1:3" x14ac:dyDescent="0.2">
      <c r="A51" s="4" t="s">
        <v>15</v>
      </c>
      <c r="B51" s="4" t="s">
        <v>2</v>
      </c>
      <c r="C51" s="10">
        <v>0.89571852900000004</v>
      </c>
    </row>
    <row r="52" spans="1:3" x14ac:dyDescent="0.2">
      <c r="A52" s="4" t="s">
        <v>16</v>
      </c>
      <c r="B52" s="4" t="s">
        <v>2</v>
      </c>
      <c r="C52" s="10">
        <v>-0.33603715099999998</v>
      </c>
    </row>
    <row r="53" spans="1:3" x14ac:dyDescent="0.2">
      <c r="A53" s="4" t="s">
        <v>17</v>
      </c>
      <c r="B53" s="4" t="s">
        <v>2</v>
      </c>
      <c r="C53" s="10">
        <v>-0.20264354000000001</v>
      </c>
    </row>
    <row r="54" spans="1:3" x14ac:dyDescent="0.2">
      <c r="A54" s="4" t="s">
        <v>18</v>
      </c>
      <c r="B54" s="4" t="s">
        <v>2</v>
      </c>
      <c r="C54" s="10">
        <v>0.43941938899999999</v>
      </c>
    </row>
    <row r="55" spans="1:3" x14ac:dyDescent="0.2">
      <c r="A55" s="4" t="s">
        <v>19</v>
      </c>
      <c r="B55" s="4" t="s">
        <v>2</v>
      </c>
      <c r="C55" s="10">
        <v>0.298094474</v>
      </c>
    </row>
    <row r="56" spans="1:3" hidden="1" x14ac:dyDescent="0.2">
      <c r="A56" s="4" t="s">
        <v>3</v>
      </c>
      <c r="B56" s="4" t="s">
        <v>4</v>
      </c>
      <c r="C56" s="4">
        <v>0.69592891099999998</v>
      </c>
    </row>
    <row r="57" spans="1:3" hidden="1" x14ac:dyDescent="0.2">
      <c r="A57" s="4" t="s">
        <v>1</v>
      </c>
      <c r="B57" s="4" t="s">
        <v>4</v>
      </c>
      <c r="C57" s="4">
        <v>0.80561452899999997</v>
      </c>
    </row>
    <row r="58" spans="1:3" hidden="1" x14ac:dyDescent="0.2">
      <c r="A58" s="4" t="s">
        <v>2</v>
      </c>
      <c r="B58" s="4" t="s">
        <v>4</v>
      </c>
      <c r="C58" s="4">
        <v>0.54656646799999997</v>
      </c>
    </row>
    <row r="59" spans="1:3" hidden="1" x14ac:dyDescent="0.2">
      <c r="A59" s="4" t="s">
        <v>4</v>
      </c>
      <c r="B59" s="4" t="s">
        <v>4</v>
      </c>
      <c r="C59" s="4">
        <v>1</v>
      </c>
    </row>
    <row r="60" spans="1:3" x14ac:dyDescent="0.2">
      <c r="A60" s="4" t="s">
        <v>5</v>
      </c>
      <c r="B60" s="4" t="s">
        <v>4</v>
      </c>
      <c r="C60" s="10">
        <v>0.53831151499999996</v>
      </c>
    </row>
    <row r="61" spans="1:3" x14ac:dyDescent="0.2">
      <c r="A61" s="4" t="s">
        <v>6</v>
      </c>
      <c r="B61" s="4" t="s">
        <v>4</v>
      </c>
      <c r="C61" s="10">
        <v>0.70256608399999998</v>
      </c>
    </row>
    <row r="62" spans="1:3" x14ac:dyDescent="0.2">
      <c r="A62" s="4" t="s">
        <v>7</v>
      </c>
      <c r="B62" s="4" t="s">
        <v>4</v>
      </c>
      <c r="C62" s="10">
        <v>0.55307086599999999</v>
      </c>
    </row>
    <row r="63" spans="1:3" x14ac:dyDescent="0.2">
      <c r="A63" s="4" t="s">
        <v>8</v>
      </c>
      <c r="B63" s="4" t="s">
        <v>4</v>
      </c>
      <c r="C63" s="10">
        <v>0.25134441899999999</v>
      </c>
    </row>
    <row r="64" spans="1:3" x14ac:dyDescent="0.2">
      <c r="A64" s="4" t="s">
        <v>9</v>
      </c>
      <c r="B64" s="4" t="s">
        <v>4</v>
      </c>
      <c r="C64" s="10">
        <v>0.50228965699999994</v>
      </c>
    </row>
    <row r="65" spans="1:3" x14ac:dyDescent="0.2">
      <c r="A65" s="4" t="s">
        <v>10</v>
      </c>
      <c r="B65" s="4" t="s">
        <v>4</v>
      </c>
      <c r="C65" s="10">
        <v>0.56839800299999999</v>
      </c>
    </row>
    <row r="66" spans="1:3" x14ac:dyDescent="0.2">
      <c r="A66" s="4" t="s">
        <v>11</v>
      </c>
      <c r="B66" s="4" t="s">
        <v>4</v>
      </c>
      <c r="C66" s="10">
        <v>0.60326782599999995</v>
      </c>
    </row>
    <row r="67" spans="1:3" x14ac:dyDescent="0.2">
      <c r="A67" s="4" t="s">
        <v>12</v>
      </c>
      <c r="B67" s="4" t="s">
        <v>4</v>
      </c>
      <c r="C67" s="10">
        <v>0.65198428200000003</v>
      </c>
    </row>
    <row r="68" spans="1:3" x14ac:dyDescent="0.2">
      <c r="A68" s="4" t="s">
        <v>13</v>
      </c>
      <c r="B68" s="4" t="s">
        <v>4</v>
      </c>
      <c r="C68" s="10">
        <v>0.324751183</v>
      </c>
    </row>
    <row r="69" spans="1:3" x14ac:dyDescent="0.2">
      <c r="A69" s="4" t="s">
        <v>14</v>
      </c>
      <c r="B69" s="4" t="s">
        <v>4</v>
      </c>
      <c r="C69" s="10">
        <v>0.49668289199999999</v>
      </c>
    </row>
    <row r="70" spans="1:3" x14ac:dyDescent="0.2">
      <c r="A70" s="4" t="s">
        <v>15</v>
      </c>
      <c r="B70" s="4" t="s">
        <v>4</v>
      </c>
      <c r="C70" s="10">
        <v>0.52858790899999997</v>
      </c>
    </row>
    <row r="71" spans="1:3" x14ac:dyDescent="0.2">
      <c r="A71" s="4" t="s">
        <v>16</v>
      </c>
      <c r="B71" s="4" t="s">
        <v>4</v>
      </c>
      <c r="C71" s="10">
        <v>-0.184231229</v>
      </c>
    </row>
    <row r="72" spans="1:3" x14ac:dyDescent="0.2">
      <c r="A72" s="4" t="s">
        <v>17</v>
      </c>
      <c r="B72" s="4" t="s">
        <v>4</v>
      </c>
      <c r="C72" s="10">
        <v>-0.64237169100000002</v>
      </c>
    </row>
    <row r="73" spans="1:3" x14ac:dyDescent="0.2">
      <c r="A73" s="4" t="s">
        <v>18</v>
      </c>
      <c r="B73" s="4" t="s">
        <v>4</v>
      </c>
      <c r="C73" s="10">
        <v>0.71655983300000003</v>
      </c>
    </row>
    <row r="74" spans="1:3" x14ac:dyDescent="0.2">
      <c r="A74" s="4" t="s">
        <v>19</v>
      </c>
      <c r="B74" s="4" t="s">
        <v>4</v>
      </c>
      <c r="C74" s="10">
        <v>0.63418148500000004</v>
      </c>
    </row>
    <row r="75" spans="1:3" hidden="1" x14ac:dyDescent="0.2">
      <c r="A75" s="4" t="s">
        <v>3</v>
      </c>
      <c r="B75" s="4" t="s">
        <v>5</v>
      </c>
      <c r="C75" s="4">
        <v>0.61616607000000001</v>
      </c>
    </row>
    <row r="76" spans="1:3" hidden="1" x14ac:dyDescent="0.2">
      <c r="A76" s="4" t="s">
        <v>1</v>
      </c>
      <c r="B76" s="4" t="s">
        <v>5</v>
      </c>
      <c r="C76" s="4">
        <v>0.67207541900000001</v>
      </c>
    </row>
    <row r="77" spans="1:3" hidden="1" x14ac:dyDescent="0.2">
      <c r="A77" s="4" t="s">
        <v>2</v>
      </c>
      <c r="B77" s="4" t="s">
        <v>5</v>
      </c>
      <c r="C77" s="4">
        <v>0.94561400900000003</v>
      </c>
    </row>
    <row r="78" spans="1:3" hidden="1" x14ac:dyDescent="0.2">
      <c r="A78" s="4" t="s">
        <v>4</v>
      </c>
      <c r="B78" s="4" t="s">
        <v>5</v>
      </c>
      <c r="C78" s="4">
        <v>0.53831151499999996</v>
      </c>
    </row>
    <row r="79" spans="1:3" hidden="1" x14ac:dyDescent="0.2">
      <c r="A79" s="4" t="s">
        <v>5</v>
      </c>
      <c r="B79" s="4" t="s">
        <v>5</v>
      </c>
      <c r="C79" s="4">
        <v>1</v>
      </c>
    </row>
    <row r="80" spans="1:3" x14ac:dyDescent="0.2">
      <c r="A80" s="4" t="s">
        <v>6</v>
      </c>
      <c r="B80" s="4" t="s">
        <v>5</v>
      </c>
      <c r="C80" s="10">
        <v>0.93066506400000004</v>
      </c>
    </row>
    <row r="81" spans="1:3" x14ac:dyDescent="0.2">
      <c r="A81" s="4" t="s">
        <v>7</v>
      </c>
      <c r="B81" s="4" t="s">
        <v>5</v>
      </c>
      <c r="C81" s="10">
        <v>0.995818341</v>
      </c>
    </row>
    <row r="82" spans="1:3" x14ac:dyDescent="0.2">
      <c r="A82" s="4" t="s">
        <v>8</v>
      </c>
      <c r="B82" s="4" t="s">
        <v>5</v>
      </c>
      <c r="C82" s="10">
        <v>0.27622296800000001</v>
      </c>
    </row>
    <row r="83" spans="1:3" x14ac:dyDescent="0.2">
      <c r="A83" s="4" t="s">
        <v>9</v>
      </c>
      <c r="B83" s="4" t="s">
        <v>5</v>
      </c>
      <c r="C83" s="10">
        <v>0.99368732000000004</v>
      </c>
    </row>
    <row r="84" spans="1:3" x14ac:dyDescent="0.2">
      <c r="A84" s="4" t="s">
        <v>10</v>
      </c>
      <c r="B84" s="4" t="s">
        <v>5</v>
      </c>
      <c r="C84" s="10">
        <v>0.30997823200000002</v>
      </c>
    </row>
    <row r="85" spans="1:3" x14ac:dyDescent="0.2">
      <c r="A85" s="4" t="s">
        <v>11</v>
      </c>
      <c r="B85" s="4" t="s">
        <v>5</v>
      </c>
      <c r="C85" s="10">
        <v>0.370783535</v>
      </c>
    </row>
    <row r="86" spans="1:3" x14ac:dyDescent="0.2">
      <c r="A86" s="4" t="s">
        <v>12</v>
      </c>
      <c r="B86" s="4" t="s">
        <v>5</v>
      </c>
      <c r="C86" s="10">
        <v>0.60070325899999999</v>
      </c>
    </row>
    <row r="87" spans="1:3" x14ac:dyDescent="0.2">
      <c r="A87" s="4" t="s">
        <v>13</v>
      </c>
      <c r="B87" s="4" t="s">
        <v>5</v>
      </c>
      <c r="C87" s="10">
        <v>0.92424630200000002</v>
      </c>
    </row>
    <row r="88" spans="1:3" x14ac:dyDescent="0.2">
      <c r="A88" s="4" t="s">
        <v>14</v>
      </c>
      <c r="B88" s="4" t="s">
        <v>5</v>
      </c>
      <c r="C88" s="10">
        <v>0.97173762100000005</v>
      </c>
    </row>
    <row r="89" spans="1:3" x14ac:dyDescent="0.2">
      <c r="A89" s="4" t="s">
        <v>15</v>
      </c>
      <c r="B89" s="4" t="s">
        <v>5</v>
      </c>
      <c r="C89" s="10">
        <v>0.98180859099999995</v>
      </c>
    </row>
    <row r="90" spans="1:3" x14ac:dyDescent="0.2">
      <c r="A90" s="4" t="s">
        <v>16</v>
      </c>
      <c r="B90" s="4" t="s">
        <v>5</v>
      </c>
      <c r="C90" s="10">
        <v>-0.46600868699999998</v>
      </c>
    </row>
    <row r="91" spans="1:3" x14ac:dyDescent="0.2">
      <c r="A91" s="4" t="s">
        <v>17</v>
      </c>
      <c r="B91" s="4" t="s">
        <v>5</v>
      </c>
      <c r="C91" s="10">
        <v>-0.19937563699999999</v>
      </c>
    </row>
    <row r="92" spans="1:3" x14ac:dyDescent="0.2">
      <c r="A92" s="4" t="s">
        <v>18</v>
      </c>
      <c r="B92" s="4" t="s">
        <v>5</v>
      </c>
      <c r="C92" s="10">
        <v>0.44066025199999997</v>
      </c>
    </row>
    <row r="93" spans="1:3" x14ac:dyDescent="0.2">
      <c r="A93" s="4" t="s">
        <v>19</v>
      </c>
      <c r="B93" s="4" t="s">
        <v>5</v>
      </c>
      <c r="C93" s="10">
        <v>0.30343725799999999</v>
      </c>
    </row>
    <row r="94" spans="1:3" hidden="1" x14ac:dyDescent="0.2">
      <c r="A94" s="4" t="s">
        <v>3</v>
      </c>
      <c r="B94" s="4" t="s">
        <v>6</v>
      </c>
      <c r="C94" s="4">
        <v>0.74131938500000005</v>
      </c>
    </row>
    <row r="95" spans="1:3" hidden="1" x14ac:dyDescent="0.2">
      <c r="A95" s="4" t="s">
        <v>1</v>
      </c>
      <c r="B95" s="4" t="s">
        <v>6</v>
      </c>
      <c r="C95" s="4">
        <v>0.84187201899999997</v>
      </c>
    </row>
    <row r="96" spans="1:3" hidden="1" x14ac:dyDescent="0.2">
      <c r="A96" s="4" t="s">
        <v>2</v>
      </c>
      <c r="B96" s="4" t="s">
        <v>6</v>
      </c>
      <c r="C96" s="4">
        <v>0.87802830899999995</v>
      </c>
    </row>
    <row r="97" spans="1:3" hidden="1" x14ac:dyDescent="0.2">
      <c r="A97" s="4" t="s">
        <v>4</v>
      </c>
      <c r="B97" s="4" t="s">
        <v>6</v>
      </c>
      <c r="C97" s="4">
        <v>0.70256608399999998</v>
      </c>
    </row>
    <row r="98" spans="1:3" hidden="1" x14ac:dyDescent="0.2">
      <c r="A98" s="4" t="s">
        <v>5</v>
      </c>
      <c r="B98" s="4" t="s">
        <v>6</v>
      </c>
      <c r="C98" s="4">
        <v>0.93066506400000004</v>
      </c>
    </row>
    <row r="99" spans="1:3" hidden="1" x14ac:dyDescent="0.2">
      <c r="A99" s="4" t="s">
        <v>6</v>
      </c>
      <c r="B99" s="4" t="s">
        <v>6</v>
      </c>
      <c r="C99" s="4">
        <v>1</v>
      </c>
    </row>
    <row r="100" spans="1:3" x14ac:dyDescent="0.2">
      <c r="A100" s="4" t="s">
        <v>7</v>
      </c>
      <c r="B100" s="4" t="s">
        <v>6</v>
      </c>
      <c r="C100" s="10">
        <v>0.93047618200000004</v>
      </c>
    </row>
    <row r="101" spans="1:3" x14ac:dyDescent="0.2">
      <c r="A101" s="4" t="s">
        <v>8</v>
      </c>
      <c r="B101" s="4" t="s">
        <v>6</v>
      </c>
      <c r="C101" s="10">
        <v>0.41435639600000002</v>
      </c>
    </row>
    <row r="102" spans="1:3" x14ac:dyDescent="0.2">
      <c r="A102" s="4" t="s">
        <v>9</v>
      </c>
      <c r="B102" s="4" t="s">
        <v>6</v>
      </c>
      <c r="C102" s="10">
        <v>0.91989927199999999</v>
      </c>
    </row>
    <row r="103" spans="1:3" x14ac:dyDescent="0.2">
      <c r="A103" s="4" t="s">
        <v>10</v>
      </c>
      <c r="B103" s="4" t="s">
        <v>6</v>
      </c>
      <c r="C103" s="10">
        <v>0.33492182100000001</v>
      </c>
    </row>
    <row r="104" spans="1:3" x14ac:dyDescent="0.2">
      <c r="A104" s="4" t="s">
        <v>11</v>
      </c>
      <c r="B104" s="4" t="s">
        <v>6</v>
      </c>
      <c r="C104" s="10">
        <v>0.39075432599999999</v>
      </c>
    </row>
    <row r="105" spans="1:3" x14ac:dyDescent="0.2">
      <c r="A105" s="4" t="s">
        <v>12</v>
      </c>
      <c r="B105" s="4" t="s">
        <v>6</v>
      </c>
      <c r="C105" s="10">
        <v>0.59025980600000005</v>
      </c>
    </row>
    <row r="106" spans="1:3" x14ac:dyDescent="0.2">
      <c r="A106" s="4" t="s">
        <v>13</v>
      </c>
      <c r="B106" s="4" t="s">
        <v>6</v>
      </c>
      <c r="C106" s="10">
        <v>0.77321032300000003</v>
      </c>
    </row>
    <row r="107" spans="1:3" x14ac:dyDescent="0.2">
      <c r="A107" s="4" t="s">
        <v>14</v>
      </c>
      <c r="B107" s="4" t="s">
        <v>6</v>
      </c>
      <c r="C107" s="10">
        <v>0.91400032499999995</v>
      </c>
    </row>
    <row r="108" spans="1:3" x14ac:dyDescent="0.2">
      <c r="A108" s="4" t="s">
        <v>15</v>
      </c>
      <c r="B108" s="4" t="s">
        <v>6</v>
      </c>
      <c r="C108" s="10">
        <v>0.91232318199999995</v>
      </c>
    </row>
    <row r="109" spans="1:3" x14ac:dyDescent="0.2">
      <c r="A109" s="4" t="s">
        <v>16</v>
      </c>
      <c r="B109" s="4" t="s">
        <v>6</v>
      </c>
      <c r="C109" s="10">
        <v>-0.447612022</v>
      </c>
    </row>
    <row r="110" spans="1:3" x14ac:dyDescent="0.2">
      <c r="A110" s="4" t="s">
        <v>17</v>
      </c>
      <c r="B110" s="4" t="s">
        <v>6</v>
      </c>
      <c r="C110" s="10">
        <v>-0.41786233099999998</v>
      </c>
    </row>
    <row r="111" spans="1:3" x14ac:dyDescent="0.2">
      <c r="A111" s="4" t="s">
        <v>18</v>
      </c>
      <c r="B111" s="4" t="s">
        <v>6</v>
      </c>
      <c r="C111" s="10">
        <v>0.55363314299999999</v>
      </c>
    </row>
    <row r="112" spans="1:3" x14ac:dyDescent="0.2">
      <c r="A112" s="4" t="s">
        <v>19</v>
      </c>
      <c r="B112" s="4" t="s">
        <v>6</v>
      </c>
      <c r="C112" s="10">
        <v>0.410204126</v>
      </c>
    </row>
    <row r="113" spans="1:3" hidden="1" x14ac:dyDescent="0.2">
      <c r="A113" s="4" t="s">
        <v>3</v>
      </c>
      <c r="B113" s="4" t="s">
        <v>7</v>
      </c>
      <c r="C113" s="4">
        <v>0.64081364299999999</v>
      </c>
    </row>
    <row r="114" spans="1:3" hidden="1" x14ac:dyDescent="0.2">
      <c r="A114" s="4" t="s">
        <v>1</v>
      </c>
      <c r="B114" s="4" t="s">
        <v>7</v>
      </c>
      <c r="C114" s="4">
        <v>0.68493674400000004</v>
      </c>
    </row>
    <row r="115" spans="1:3" hidden="1" x14ac:dyDescent="0.2">
      <c r="A115" s="4" t="s">
        <v>2</v>
      </c>
      <c r="B115" s="4" t="s">
        <v>7</v>
      </c>
      <c r="C115" s="4">
        <v>0.96152926800000005</v>
      </c>
    </row>
    <row r="116" spans="1:3" hidden="1" x14ac:dyDescent="0.2">
      <c r="A116" s="4" t="s">
        <v>4</v>
      </c>
      <c r="B116" s="4" t="s">
        <v>7</v>
      </c>
      <c r="C116" s="4">
        <v>0.55307086599999999</v>
      </c>
    </row>
    <row r="117" spans="1:3" hidden="1" x14ac:dyDescent="0.2">
      <c r="A117" s="4" t="s">
        <v>5</v>
      </c>
      <c r="B117" s="4" t="s">
        <v>7</v>
      </c>
      <c r="C117" s="4">
        <v>0.995818341</v>
      </c>
    </row>
    <row r="118" spans="1:3" hidden="1" x14ac:dyDescent="0.2">
      <c r="A118" s="4" t="s">
        <v>6</v>
      </c>
      <c r="B118" s="4" t="s">
        <v>7</v>
      </c>
      <c r="C118" s="4">
        <v>0.93047618200000004</v>
      </c>
    </row>
    <row r="119" spans="1:3" hidden="1" x14ac:dyDescent="0.2">
      <c r="A119" s="4" t="s">
        <v>7</v>
      </c>
      <c r="B119" s="4" t="s">
        <v>7</v>
      </c>
      <c r="C119" s="4">
        <v>1</v>
      </c>
    </row>
    <row r="120" spans="1:3" x14ac:dyDescent="0.2">
      <c r="A120" s="4" t="s">
        <v>8</v>
      </c>
      <c r="B120" s="4" t="s">
        <v>7</v>
      </c>
      <c r="C120" s="10">
        <v>0.24086591800000001</v>
      </c>
    </row>
    <row r="121" spans="1:3" x14ac:dyDescent="0.2">
      <c r="A121" s="4" t="s">
        <v>9</v>
      </c>
      <c r="B121" s="4" t="s">
        <v>7</v>
      </c>
      <c r="C121" s="10">
        <v>0.98455073000000004</v>
      </c>
    </row>
    <row r="122" spans="1:3" x14ac:dyDescent="0.2">
      <c r="A122" s="4" t="s">
        <v>10</v>
      </c>
      <c r="B122" s="4" t="s">
        <v>7</v>
      </c>
      <c r="C122" s="10">
        <v>0.31431543899999997</v>
      </c>
    </row>
    <row r="123" spans="1:3" x14ac:dyDescent="0.2">
      <c r="A123" s="4" t="s">
        <v>11</v>
      </c>
      <c r="B123" s="4" t="s">
        <v>7</v>
      </c>
      <c r="C123" s="10">
        <v>0.38323118499999997</v>
      </c>
    </row>
    <row r="124" spans="1:3" x14ac:dyDescent="0.2">
      <c r="A124" s="4" t="s">
        <v>12</v>
      </c>
      <c r="B124" s="4" t="s">
        <v>7</v>
      </c>
      <c r="C124" s="10">
        <v>0.61835128299999997</v>
      </c>
    </row>
    <row r="125" spans="1:3" x14ac:dyDescent="0.2">
      <c r="A125" s="4" t="s">
        <v>13</v>
      </c>
      <c r="B125" s="4" t="s">
        <v>7</v>
      </c>
      <c r="C125" s="10">
        <v>0.91542589399999996</v>
      </c>
    </row>
    <row r="126" spans="1:3" x14ac:dyDescent="0.2">
      <c r="A126" s="4" t="s">
        <v>14</v>
      </c>
      <c r="B126" s="4" t="s">
        <v>7</v>
      </c>
      <c r="C126" s="10">
        <v>0.96224240299999997</v>
      </c>
    </row>
    <row r="127" spans="1:3" x14ac:dyDescent="0.2">
      <c r="A127" s="4" t="s">
        <v>15</v>
      </c>
      <c r="B127" s="4" t="s">
        <v>7</v>
      </c>
      <c r="C127" s="10">
        <v>0.96935964399999996</v>
      </c>
    </row>
    <row r="128" spans="1:3" x14ac:dyDescent="0.2">
      <c r="A128" s="4" t="s">
        <v>16</v>
      </c>
      <c r="B128" s="4" t="s">
        <v>7</v>
      </c>
      <c r="C128" s="10">
        <v>-0.42854584800000001</v>
      </c>
    </row>
    <row r="129" spans="1:3" x14ac:dyDescent="0.2">
      <c r="A129" s="4" t="s">
        <v>17</v>
      </c>
      <c r="B129" s="4" t="s">
        <v>7</v>
      </c>
      <c r="C129" s="10">
        <v>-0.218202389</v>
      </c>
    </row>
    <row r="130" spans="1:3" x14ac:dyDescent="0.2">
      <c r="A130" s="4" t="s">
        <v>18</v>
      </c>
      <c r="B130" s="4" t="s">
        <v>7</v>
      </c>
      <c r="C130" s="10">
        <v>0.426831919</v>
      </c>
    </row>
    <row r="131" spans="1:3" x14ac:dyDescent="0.2">
      <c r="A131" s="4" t="s">
        <v>19</v>
      </c>
      <c r="B131" s="4" t="s">
        <v>7</v>
      </c>
      <c r="C131" s="10">
        <v>0.28396193400000003</v>
      </c>
    </row>
    <row r="132" spans="1:3" hidden="1" x14ac:dyDescent="0.2">
      <c r="A132" s="4" t="s">
        <v>3</v>
      </c>
      <c r="B132" s="4" t="s">
        <v>8</v>
      </c>
      <c r="C132" s="4">
        <v>0.29846032099999997</v>
      </c>
    </row>
    <row r="133" spans="1:3" hidden="1" x14ac:dyDescent="0.2">
      <c r="A133" s="4" t="s">
        <v>1</v>
      </c>
      <c r="B133" s="4" t="s">
        <v>8</v>
      </c>
      <c r="C133" s="4">
        <v>0.43710756299999998</v>
      </c>
    </row>
    <row r="134" spans="1:3" hidden="1" x14ac:dyDescent="0.2">
      <c r="A134" s="4" t="s">
        <v>2</v>
      </c>
      <c r="B134" s="4" t="s">
        <v>8</v>
      </c>
      <c r="C134" s="4">
        <v>0.150677476</v>
      </c>
    </row>
    <row r="135" spans="1:3" hidden="1" x14ac:dyDescent="0.2">
      <c r="A135" s="4" t="s">
        <v>4</v>
      </c>
      <c r="B135" s="4" t="s">
        <v>8</v>
      </c>
      <c r="C135" s="4">
        <v>0.25134441899999999</v>
      </c>
    </row>
    <row r="136" spans="1:3" hidden="1" x14ac:dyDescent="0.2">
      <c r="A136" s="4" t="s">
        <v>5</v>
      </c>
      <c r="B136" s="4" t="s">
        <v>8</v>
      </c>
      <c r="C136" s="4">
        <v>0.27622296800000001</v>
      </c>
    </row>
    <row r="137" spans="1:3" hidden="1" x14ac:dyDescent="0.2">
      <c r="A137" s="4" t="s">
        <v>6</v>
      </c>
      <c r="B137" s="4" t="s">
        <v>8</v>
      </c>
      <c r="C137" s="4">
        <v>0.41435639600000002</v>
      </c>
    </row>
    <row r="138" spans="1:3" hidden="1" x14ac:dyDescent="0.2">
      <c r="A138" s="4" t="s">
        <v>7</v>
      </c>
      <c r="B138" s="4" t="s">
        <v>8</v>
      </c>
      <c r="C138" s="4">
        <v>0.24086591800000001</v>
      </c>
    </row>
    <row r="139" spans="1:3" hidden="1" x14ac:dyDescent="0.2">
      <c r="A139" s="4" t="s">
        <v>8</v>
      </c>
      <c r="B139" s="4" t="s">
        <v>8</v>
      </c>
      <c r="C139" s="4">
        <v>1</v>
      </c>
    </row>
    <row r="140" spans="1:3" x14ac:dyDescent="0.2">
      <c r="A140" s="4" t="s">
        <v>9</v>
      </c>
      <c r="B140" s="4" t="s">
        <v>8</v>
      </c>
      <c r="C140" s="10">
        <v>0.31687858899999999</v>
      </c>
    </row>
    <row r="141" spans="1:3" x14ac:dyDescent="0.2">
      <c r="A141" s="4" t="s">
        <v>10</v>
      </c>
      <c r="B141" s="4" t="s">
        <v>8</v>
      </c>
      <c r="C141" s="10">
        <v>-0.199710531</v>
      </c>
    </row>
    <row r="142" spans="1:3" x14ac:dyDescent="0.2">
      <c r="A142" s="4" t="s">
        <v>11</v>
      </c>
      <c r="B142" s="4" t="s">
        <v>8</v>
      </c>
      <c r="C142" s="10">
        <v>-0.28226450400000003</v>
      </c>
    </row>
    <row r="143" spans="1:3" x14ac:dyDescent="0.2">
      <c r="A143" s="4" t="s">
        <v>12</v>
      </c>
      <c r="B143" s="4" t="s">
        <v>8</v>
      </c>
      <c r="C143" s="10">
        <v>-0.20139890299999999</v>
      </c>
    </row>
    <row r="144" spans="1:3" x14ac:dyDescent="0.2">
      <c r="A144" s="4" t="s">
        <v>13</v>
      </c>
      <c r="B144" s="4" t="s">
        <v>8</v>
      </c>
      <c r="C144" s="10">
        <v>0.16982841400000001</v>
      </c>
    </row>
    <row r="145" spans="1:3" x14ac:dyDescent="0.2">
      <c r="A145" s="4" t="s">
        <v>14</v>
      </c>
      <c r="B145" s="4" t="s">
        <v>8</v>
      </c>
      <c r="C145" s="10">
        <v>0.35499451799999998</v>
      </c>
    </row>
    <row r="146" spans="1:3" x14ac:dyDescent="0.2">
      <c r="A146" s="4" t="s">
        <v>15</v>
      </c>
      <c r="B146" s="4" t="s">
        <v>8</v>
      </c>
      <c r="C146" s="10">
        <v>0.33676245500000002</v>
      </c>
    </row>
    <row r="147" spans="1:3" x14ac:dyDescent="0.2">
      <c r="A147" s="4" t="s">
        <v>16</v>
      </c>
      <c r="B147" s="4" t="s">
        <v>8</v>
      </c>
      <c r="C147" s="10">
        <v>-0.57601878200000001</v>
      </c>
    </row>
    <row r="148" spans="1:3" x14ac:dyDescent="0.2">
      <c r="A148" s="4" t="s">
        <v>17</v>
      </c>
      <c r="B148" s="4" t="s">
        <v>8</v>
      </c>
      <c r="C148" s="10">
        <v>-2.0199102E-2</v>
      </c>
    </row>
    <row r="149" spans="1:3" x14ac:dyDescent="0.2">
      <c r="A149" s="4" t="s">
        <v>18</v>
      </c>
      <c r="B149" s="4" t="s">
        <v>8</v>
      </c>
      <c r="C149" s="10">
        <v>0.13022499500000001</v>
      </c>
    </row>
    <row r="150" spans="1:3" x14ac:dyDescent="0.2">
      <c r="A150" s="4" t="s">
        <v>19</v>
      </c>
      <c r="B150" s="4" t="s">
        <v>8</v>
      </c>
      <c r="C150" s="10">
        <v>0.106983177</v>
      </c>
    </row>
    <row r="151" spans="1:3" hidden="1" x14ac:dyDescent="0.2">
      <c r="A151" s="4" t="s">
        <v>3</v>
      </c>
      <c r="B151" s="4" t="s">
        <v>9</v>
      </c>
      <c r="C151" s="4">
        <v>0.58781558499999997</v>
      </c>
    </row>
    <row r="152" spans="1:3" hidden="1" x14ac:dyDescent="0.2">
      <c r="A152" s="4" t="s">
        <v>1</v>
      </c>
      <c r="B152" s="4" t="s">
        <v>9</v>
      </c>
      <c r="C152" s="4">
        <v>0.65211393100000004</v>
      </c>
    </row>
    <row r="153" spans="1:3" hidden="1" x14ac:dyDescent="0.2">
      <c r="A153" s="4" t="s">
        <v>2</v>
      </c>
      <c r="B153" s="4" t="s">
        <v>9</v>
      </c>
      <c r="C153" s="4">
        <v>0.91827181700000005</v>
      </c>
    </row>
    <row r="154" spans="1:3" hidden="1" x14ac:dyDescent="0.2">
      <c r="A154" s="4" t="s">
        <v>4</v>
      </c>
      <c r="B154" s="4" t="s">
        <v>9</v>
      </c>
      <c r="C154" s="4">
        <v>0.50228965699999994</v>
      </c>
    </row>
    <row r="155" spans="1:3" hidden="1" x14ac:dyDescent="0.2">
      <c r="A155" s="4" t="s">
        <v>5</v>
      </c>
      <c r="B155" s="4" t="s">
        <v>9</v>
      </c>
      <c r="C155" s="4">
        <v>0.99368732000000004</v>
      </c>
    </row>
    <row r="156" spans="1:3" hidden="1" x14ac:dyDescent="0.2">
      <c r="A156" s="4" t="s">
        <v>6</v>
      </c>
      <c r="B156" s="4" t="s">
        <v>9</v>
      </c>
      <c r="C156" s="4">
        <v>0.91989927199999999</v>
      </c>
    </row>
    <row r="157" spans="1:3" hidden="1" x14ac:dyDescent="0.2">
      <c r="A157" s="4" t="s">
        <v>7</v>
      </c>
      <c r="B157" s="4" t="s">
        <v>9</v>
      </c>
      <c r="C157" s="4">
        <v>0.98455073000000004</v>
      </c>
    </row>
    <row r="158" spans="1:3" hidden="1" x14ac:dyDescent="0.2">
      <c r="A158" s="4" t="s">
        <v>8</v>
      </c>
      <c r="B158" s="4" t="s">
        <v>9</v>
      </c>
      <c r="C158" s="4">
        <v>0.31687858899999999</v>
      </c>
    </row>
    <row r="159" spans="1:3" hidden="1" x14ac:dyDescent="0.2">
      <c r="A159" s="4" t="s">
        <v>9</v>
      </c>
      <c r="B159" s="4" t="s">
        <v>9</v>
      </c>
      <c r="C159" s="4">
        <v>1</v>
      </c>
    </row>
    <row r="160" spans="1:3" x14ac:dyDescent="0.2">
      <c r="A160" s="4" t="s">
        <v>10</v>
      </c>
      <c r="B160" s="4" t="s">
        <v>9</v>
      </c>
      <c r="C160" s="10">
        <v>0.260790085</v>
      </c>
    </row>
    <row r="161" spans="1:3" x14ac:dyDescent="0.2">
      <c r="A161" s="4" t="s">
        <v>11</v>
      </c>
      <c r="B161" s="4" t="s">
        <v>9</v>
      </c>
      <c r="C161" s="10">
        <v>0.31236544599999999</v>
      </c>
    </row>
    <row r="162" spans="1:3" x14ac:dyDescent="0.2">
      <c r="A162" s="4" t="s">
        <v>12</v>
      </c>
      <c r="B162" s="4" t="s">
        <v>9</v>
      </c>
      <c r="C162" s="10">
        <v>0.54120248900000001</v>
      </c>
    </row>
    <row r="163" spans="1:3" x14ac:dyDescent="0.2">
      <c r="A163" s="4" t="s">
        <v>13</v>
      </c>
      <c r="B163" s="4" t="s">
        <v>9</v>
      </c>
      <c r="C163" s="10">
        <v>0.93295322199999997</v>
      </c>
    </row>
    <row r="164" spans="1:3" x14ac:dyDescent="0.2">
      <c r="A164" s="4" t="s">
        <v>14</v>
      </c>
      <c r="B164" s="4" t="s">
        <v>9</v>
      </c>
      <c r="C164" s="10">
        <v>0.98291508400000005</v>
      </c>
    </row>
    <row r="165" spans="1:3" x14ac:dyDescent="0.2">
      <c r="A165" s="4" t="s">
        <v>15</v>
      </c>
      <c r="B165" s="4" t="s">
        <v>9</v>
      </c>
      <c r="C165" s="10">
        <v>0.99267584099999995</v>
      </c>
    </row>
    <row r="166" spans="1:3" x14ac:dyDescent="0.2">
      <c r="A166" s="4" t="s">
        <v>16</v>
      </c>
      <c r="B166" s="4" t="s">
        <v>9</v>
      </c>
      <c r="C166" s="10">
        <v>-0.53312208100000003</v>
      </c>
    </row>
    <row r="167" spans="1:3" x14ac:dyDescent="0.2">
      <c r="A167" s="4" t="s">
        <v>17</v>
      </c>
      <c r="B167" s="4" t="s">
        <v>9</v>
      </c>
      <c r="C167" s="10">
        <v>-0.14695154199999999</v>
      </c>
    </row>
    <row r="168" spans="1:3" x14ac:dyDescent="0.2">
      <c r="A168" s="4" t="s">
        <v>18</v>
      </c>
      <c r="B168" s="4" t="s">
        <v>9</v>
      </c>
      <c r="C168" s="10">
        <v>0.39140945700000002</v>
      </c>
    </row>
    <row r="169" spans="1:3" x14ac:dyDescent="0.2">
      <c r="A169" s="4" t="s">
        <v>19</v>
      </c>
      <c r="B169" s="4" t="s">
        <v>9</v>
      </c>
      <c r="C169" s="10">
        <v>0.25628356499999999</v>
      </c>
    </row>
    <row r="170" spans="1:3" hidden="1" x14ac:dyDescent="0.2">
      <c r="A170" s="4" t="s">
        <v>3</v>
      </c>
      <c r="B170" s="4" t="s">
        <v>10</v>
      </c>
      <c r="C170" s="4">
        <v>0.35179983199999998</v>
      </c>
    </row>
    <row r="171" spans="1:3" hidden="1" x14ac:dyDescent="0.2">
      <c r="A171" s="4" t="s">
        <v>1</v>
      </c>
      <c r="B171" s="4" t="s">
        <v>10</v>
      </c>
      <c r="C171" s="4">
        <v>0.405409348</v>
      </c>
    </row>
    <row r="172" spans="1:3" hidden="1" x14ac:dyDescent="0.2">
      <c r="A172" s="4" t="s">
        <v>2</v>
      </c>
      <c r="B172" s="4" t="s">
        <v>10</v>
      </c>
      <c r="C172" s="4">
        <v>0.30839266900000001</v>
      </c>
    </row>
    <row r="173" spans="1:3" hidden="1" x14ac:dyDescent="0.2">
      <c r="A173" s="4" t="s">
        <v>4</v>
      </c>
      <c r="B173" s="4" t="s">
        <v>10</v>
      </c>
      <c r="C173" s="4">
        <v>0.56839800299999999</v>
      </c>
    </row>
    <row r="174" spans="1:3" hidden="1" x14ac:dyDescent="0.2">
      <c r="A174" s="4" t="s">
        <v>5</v>
      </c>
      <c r="B174" s="4" t="s">
        <v>10</v>
      </c>
      <c r="C174" s="4">
        <v>0.30997823200000002</v>
      </c>
    </row>
    <row r="175" spans="1:3" hidden="1" x14ac:dyDescent="0.2">
      <c r="A175" s="4" t="s">
        <v>6</v>
      </c>
      <c r="B175" s="4" t="s">
        <v>10</v>
      </c>
      <c r="C175" s="4">
        <v>0.33492182100000001</v>
      </c>
    </row>
    <row r="176" spans="1:3" hidden="1" x14ac:dyDescent="0.2">
      <c r="A176" s="4" t="s">
        <v>7</v>
      </c>
      <c r="B176" s="4" t="s">
        <v>10</v>
      </c>
      <c r="C176" s="4">
        <v>0.31431543899999997</v>
      </c>
    </row>
    <row r="177" spans="1:3" hidden="1" x14ac:dyDescent="0.2">
      <c r="A177" s="4" t="s">
        <v>8</v>
      </c>
      <c r="B177" s="4" t="s">
        <v>10</v>
      </c>
      <c r="C177" s="4">
        <v>-0.199710531</v>
      </c>
    </row>
    <row r="178" spans="1:3" hidden="1" x14ac:dyDescent="0.2">
      <c r="A178" s="4" t="s">
        <v>9</v>
      </c>
      <c r="B178" s="4" t="s">
        <v>10</v>
      </c>
      <c r="C178" s="4">
        <v>0.260790085</v>
      </c>
    </row>
    <row r="179" spans="1:3" hidden="1" x14ac:dyDescent="0.2">
      <c r="A179" s="4" t="s">
        <v>10</v>
      </c>
      <c r="B179" s="4" t="s">
        <v>10</v>
      </c>
      <c r="C179" s="4">
        <v>1</v>
      </c>
    </row>
    <row r="180" spans="1:3" x14ac:dyDescent="0.2">
      <c r="A180" s="4" t="s">
        <v>11</v>
      </c>
      <c r="B180" s="4" t="s">
        <v>10</v>
      </c>
      <c r="C180" s="10">
        <v>0.87523736200000002</v>
      </c>
    </row>
    <row r="181" spans="1:3" x14ac:dyDescent="0.2">
      <c r="A181" s="4" t="s">
        <v>12</v>
      </c>
      <c r="B181" s="4" t="s">
        <v>10</v>
      </c>
      <c r="C181" s="10">
        <v>0.87079795599999998</v>
      </c>
    </row>
    <row r="182" spans="1:3" x14ac:dyDescent="0.2">
      <c r="A182" s="4" t="s">
        <v>13</v>
      </c>
      <c r="B182" s="4" t="s">
        <v>10</v>
      </c>
      <c r="C182" s="10">
        <v>0.17345777900000001</v>
      </c>
    </row>
    <row r="183" spans="1:3" x14ac:dyDescent="0.2">
      <c r="A183" s="4" t="s">
        <v>14</v>
      </c>
      <c r="B183" s="4" t="s">
        <v>10</v>
      </c>
      <c r="C183" s="10">
        <v>0.25210090400000001</v>
      </c>
    </row>
    <row r="184" spans="1:3" x14ac:dyDescent="0.2">
      <c r="A184" s="4" t="s">
        <v>15</v>
      </c>
      <c r="B184" s="4" t="s">
        <v>10</v>
      </c>
      <c r="C184" s="10">
        <v>0.28956533800000001</v>
      </c>
    </row>
    <row r="185" spans="1:3" x14ac:dyDescent="0.2">
      <c r="A185" s="4" t="s">
        <v>16</v>
      </c>
      <c r="B185" s="4" t="s">
        <v>10</v>
      </c>
      <c r="C185" s="10">
        <v>0.114778964</v>
      </c>
    </row>
    <row r="186" spans="1:3" x14ac:dyDescent="0.2">
      <c r="A186" s="4" t="s">
        <v>17</v>
      </c>
      <c r="B186" s="4" t="s">
        <v>10</v>
      </c>
      <c r="C186" s="10">
        <v>-0.54677941699999999</v>
      </c>
    </row>
    <row r="187" spans="1:3" x14ac:dyDescent="0.2">
      <c r="A187" s="4" t="s">
        <v>18</v>
      </c>
      <c r="B187" s="4" t="s">
        <v>10</v>
      </c>
      <c r="C187" s="10">
        <v>0.75872503899999999</v>
      </c>
    </row>
    <row r="188" spans="1:3" x14ac:dyDescent="0.2">
      <c r="A188" s="4" t="s">
        <v>19</v>
      </c>
      <c r="B188" s="4" t="s">
        <v>10</v>
      </c>
      <c r="C188" s="10">
        <v>0.74002958900000004</v>
      </c>
    </row>
    <row r="189" spans="1:3" hidden="1" x14ac:dyDescent="0.2">
      <c r="A189" s="4" t="s">
        <v>3</v>
      </c>
      <c r="B189" s="4" t="s">
        <v>11</v>
      </c>
      <c r="C189" s="4">
        <v>0.36131901900000002</v>
      </c>
    </row>
    <row r="190" spans="1:3" hidden="1" x14ac:dyDescent="0.2">
      <c r="A190" s="4" t="s">
        <v>1</v>
      </c>
      <c r="B190" s="4" t="s">
        <v>11</v>
      </c>
      <c r="C190" s="4">
        <v>0.45788331399999999</v>
      </c>
    </row>
    <row r="191" spans="1:3" hidden="1" x14ac:dyDescent="0.2">
      <c r="A191" s="4" t="s">
        <v>2</v>
      </c>
      <c r="B191" s="4" t="s">
        <v>11</v>
      </c>
      <c r="C191" s="4">
        <v>0.42155991300000001</v>
      </c>
    </row>
    <row r="192" spans="1:3" hidden="1" x14ac:dyDescent="0.2">
      <c r="A192" s="4" t="s">
        <v>4</v>
      </c>
      <c r="B192" s="4" t="s">
        <v>11</v>
      </c>
      <c r="C192" s="4">
        <v>0.60326782599999995</v>
      </c>
    </row>
    <row r="193" spans="1:3" hidden="1" x14ac:dyDescent="0.2">
      <c r="A193" s="4" t="s">
        <v>5</v>
      </c>
      <c r="B193" s="4" t="s">
        <v>11</v>
      </c>
      <c r="C193" s="4">
        <v>0.370783535</v>
      </c>
    </row>
    <row r="194" spans="1:3" hidden="1" x14ac:dyDescent="0.2">
      <c r="A194" s="4" t="s">
        <v>6</v>
      </c>
      <c r="B194" s="4" t="s">
        <v>11</v>
      </c>
      <c r="C194" s="4">
        <v>0.39075432599999999</v>
      </c>
    </row>
    <row r="195" spans="1:3" hidden="1" x14ac:dyDescent="0.2">
      <c r="A195" s="4" t="s">
        <v>7</v>
      </c>
      <c r="B195" s="4" t="s">
        <v>11</v>
      </c>
      <c r="C195" s="4">
        <v>0.38323118499999997</v>
      </c>
    </row>
    <row r="196" spans="1:3" hidden="1" x14ac:dyDescent="0.2">
      <c r="A196" s="4" t="s">
        <v>8</v>
      </c>
      <c r="B196" s="4" t="s">
        <v>11</v>
      </c>
      <c r="C196" s="4">
        <v>-0.28226450400000003</v>
      </c>
    </row>
    <row r="197" spans="1:3" hidden="1" x14ac:dyDescent="0.2">
      <c r="A197" s="4" t="s">
        <v>9</v>
      </c>
      <c r="B197" s="4" t="s">
        <v>11</v>
      </c>
      <c r="C197" s="4">
        <v>0.31236544599999999</v>
      </c>
    </row>
    <row r="198" spans="1:3" hidden="1" x14ac:dyDescent="0.2">
      <c r="A198" s="4" t="s">
        <v>10</v>
      </c>
      <c r="B198" s="4" t="s">
        <v>11</v>
      </c>
      <c r="C198" s="4">
        <v>0.87523736200000002</v>
      </c>
    </row>
    <row r="199" spans="1:3" hidden="1" x14ac:dyDescent="0.2">
      <c r="A199" s="4" t="s">
        <v>11</v>
      </c>
      <c r="B199" s="4" t="s">
        <v>11</v>
      </c>
      <c r="C199" s="4">
        <v>1</v>
      </c>
    </row>
    <row r="200" spans="1:3" x14ac:dyDescent="0.2">
      <c r="A200" s="4" t="s">
        <v>12</v>
      </c>
      <c r="B200" s="4" t="s">
        <v>11</v>
      </c>
      <c r="C200" s="10">
        <v>0.90026441499999998</v>
      </c>
    </row>
    <row r="201" spans="1:3" x14ac:dyDescent="0.2">
      <c r="A201" s="4" t="s">
        <v>13</v>
      </c>
      <c r="B201" s="4" t="s">
        <v>11</v>
      </c>
      <c r="C201" s="10">
        <v>0.232883439</v>
      </c>
    </row>
    <row r="202" spans="1:3" x14ac:dyDescent="0.2">
      <c r="A202" s="4" t="s">
        <v>14</v>
      </c>
      <c r="B202" s="4" t="s">
        <v>11</v>
      </c>
      <c r="C202" s="10">
        <v>0.30125955700000001</v>
      </c>
    </row>
    <row r="203" spans="1:3" x14ac:dyDescent="0.2">
      <c r="A203" s="4" t="s">
        <v>15</v>
      </c>
      <c r="B203" s="4" t="s">
        <v>11</v>
      </c>
      <c r="C203" s="10">
        <v>0.33352963800000002</v>
      </c>
    </row>
    <row r="204" spans="1:3" x14ac:dyDescent="0.2">
      <c r="A204" s="4" t="s">
        <v>16</v>
      </c>
      <c r="B204" s="4" t="s">
        <v>11</v>
      </c>
      <c r="C204" s="10">
        <v>0.135431262</v>
      </c>
    </row>
    <row r="205" spans="1:3" x14ac:dyDescent="0.2">
      <c r="A205" s="4" t="s">
        <v>17</v>
      </c>
      <c r="B205" s="4" t="s">
        <v>11</v>
      </c>
      <c r="C205" s="10">
        <v>-0.53378551500000004</v>
      </c>
    </row>
    <row r="206" spans="1:3" x14ac:dyDescent="0.2">
      <c r="A206" s="4" t="s">
        <v>18</v>
      </c>
      <c r="B206" s="4" t="s">
        <v>11</v>
      </c>
      <c r="C206" s="10">
        <v>0.74058606199999999</v>
      </c>
    </row>
    <row r="207" spans="1:3" x14ac:dyDescent="0.2">
      <c r="A207" s="4" t="s">
        <v>19</v>
      </c>
      <c r="B207" s="4" t="s">
        <v>11</v>
      </c>
      <c r="C207" s="10">
        <v>0.73080751200000005</v>
      </c>
    </row>
    <row r="208" spans="1:3" hidden="1" x14ac:dyDescent="0.2">
      <c r="A208" s="4" t="s">
        <v>3</v>
      </c>
      <c r="B208" s="4" t="s">
        <v>12</v>
      </c>
      <c r="C208" s="4">
        <v>0.52342059100000005</v>
      </c>
    </row>
    <row r="209" spans="1:3" hidden="1" x14ac:dyDescent="0.2">
      <c r="A209" s="4" t="s">
        <v>1</v>
      </c>
      <c r="B209" s="4" t="s">
        <v>12</v>
      </c>
      <c r="C209" s="4">
        <v>0.56672533700000005</v>
      </c>
    </row>
    <row r="210" spans="1:3" hidden="1" x14ac:dyDescent="0.2">
      <c r="A210" s="4" t="s">
        <v>2</v>
      </c>
      <c r="B210" s="4" t="s">
        <v>12</v>
      </c>
      <c r="C210" s="4">
        <v>0.65006964</v>
      </c>
    </row>
    <row r="211" spans="1:3" hidden="1" x14ac:dyDescent="0.2">
      <c r="A211" s="4" t="s">
        <v>4</v>
      </c>
      <c r="B211" s="4" t="s">
        <v>12</v>
      </c>
      <c r="C211" s="4">
        <v>0.65198428200000003</v>
      </c>
    </row>
    <row r="212" spans="1:3" hidden="1" x14ac:dyDescent="0.2">
      <c r="A212" s="4" t="s">
        <v>5</v>
      </c>
      <c r="B212" s="4" t="s">
        <v>12</v>
      </c>
      <c r="C212" s="4">
        <v>0.60070325899999999</v>
      </c>
    </row>
    <row r="213" spans="1:3" hidden="1" x14ac:dyDescent="0.2">
      <c r="A213" s="4" t="s">
        <v>6</v>
      </c>
      <c r="B213" s="4" t="s">
        <v>12</v>
      </c>
      <c r="C213" s="4">
        <v>0.59025980600000005</v>
      </c>
    </row>
    <row r="214" spans="1:3" hidden="1" x14ac:dyDescent="0.2">
      <c r="A214" s="4" t="s">
        <v>7</v>
      </c>
      <c r="B214" s="4" t="s">
        <v>12</v>
      </c>
      <c r="C214" s="4">
        <v>0.61835128299999997</v>
      </c>
    </row>
    <row r="215" spans="1:3" hidden="1" x14ac:dyDescent="0.2">
      <c r="A215" s="4" t="s">
        <v>8</v>
      </c>
      <c r="B215" s="4" t="s">
        <v>12</v>
      </c>
      <c r="C215" s="4">
        <v>-0.20139890299999999</v>
      </c>
    </row>
    <row r="216" spans="1:3" hidden="1" x14ac:dyDescent="0.2">
      <c r="A216" s="4" t="s">
        <v>9</v>
      </c>
      <c r="B216" s="4" t="s">
        <v>12</v>
      </c>
      <c r="C216" s="4">
        <v>0.54120248900000001</v>
      </c>
    </row>
    <row r="217" spans="1:3" hidden="1" x14ac:dyDescent="0.2">
      <c r="A217" s="4" t="s">
        <v>10</v>
      </c>
      <c r="B217" s="4" t="s">
        <v>12</v>
      </c>
      <c r="C217" s="4">
        <v>0.87079795599999998</v>
      </c>
    </row>
    <row r="218" spans="1:3" hidden="1" x14ac:dyDescent="0.2">
      <c r="A218" s="4" t="s">
        <v>11</v>
      </c>
      <c r="B218" s="4" t="s">
        <v>12</v>
      </c>
      <c r="C218" s="4">
        <v>0.90026441499999998</v>
      </c>
    </row>
    <row r="219" spans="1:3" hidden="1" x14ac:dyDescent="0.2">
      <c r="A219" s="4" t="s">
        <v>12</v>
      </c>
      <c r="B219" s="4" t="s">
        <v>12</v>
      </c>
      <c r="C219" s="4">
        <v>1</v>
      </c>
    </row>
    <row r="220" spans="1:3" x14ac:dyDescent="0.2">
      <c r="A220" s="4" t="s">
        <v>13</v>
      </c>
      <c r="B220" s="4" t="s">
        <v>12</v>
      </c>
      <c r="C220" s="10">
        <v>0.44819383800000001</v>
      </c>
    </row>
    <row r="221" spans="1:3" x14ac:dyDescent="0.2">
      <c r="A221" s="4" t="s">
        <v>14</v>
      </c>
      <c r="B221" s="4" t="s">
        <v>12</v>
      </c>
      <c r="C221" s="10">
        <v>0.527855034</v>
      </c>
    </row>
    <row r="222" spans="1:3" x14ac:dyDescent="0.2">
      <c r="A222" s="4" t="s">
        <v>15</v>
      </c>
      <c r="B222" s="4" t="s">
        <v>12</v>
      </c>
      <c r="C222" s="10">
        <v>0.54860160499999999</v>
      </c>
    </row>
    <row r="223" spans="1:3" x14ac:dyDescent="0.2">
      <c r="A223" s="4" t="s">
        <v>16</v>
      </c>
      <c r="B223" s="4" t="s">
        <v>12</v>
      </c>
      <c r="C223" s="10">
        <v>-2.2670682000000001E-2</v>
      </c>
    </row>
    <row r="224" spans="1:3" x14ac:dyDescent="0.2">
      <c r="A224" s="4" t="s">
        <v>17</v>
      </c>
      <c r="B224" s="4" t="s">
        <v>12</v>
      </c>
      <c r="C224" s="10">
        <v>-0.48709780000000003</v>
      </c>
    </row>
    <row r="225" spans="1:3" x14ac:dyDescent="0.2">
      <c r="A225" s="4" t="s">
        <v>18</v>
      </c>
      <c r="B225" s="4" t="s">
        <v>12</v>
      </c>
      <c r="C225" s="10">
        <v>0.78229312500000003</v>
      </c>
    </row>
    <row r="226" spans="1:3" x14ac:dyDescent="0.2">
      <c r="A226" s="4" t="s">
        <v>19</v>
      </c>
      <c r="B226" s="4" t="s">
        <v>12</v>
      </c>
      <c r="C226" s="10">
        <v>0.71120256199999998</v>
      </c>
    </row>
    <row r="227" spans="1:3" hidden="1" x14ac:dyDescent="0.2">
      <c r="A227" s="4" t="s">
        <v>3</v>
      </c>
      <c r="B227" s="4" t="s">
        <v>13</v>
      </c>
      <c r="C227" s="4">
        <v>0.41214548400000001</v>
      </c>
    </row>
    <row r="228" spans="1:3" hidden="1" x14ac:dyDescent="0.2">
      <c r="A228" s="4" t="s">
        <v>1</v>
      </c>
      <c r="B228" s="4" t="s">
        <v>13</v>
      </c>
      <c r="C228" s="4">
        <v>0.447176254</v>
      </c>
    </row>
    <row r="229" spans="1:3" hidden="1" x14ac:dyDescent="0.2">
      <c r="A229" s="4" t="s">
        <v>2</v>
      </c>
      <c r="B229" s="4" t="s">
        <v>13</v>
      </c>
      <c r="C229" s="4">
        <v>0.84652382000000004</v>
      </c>
    </row>
    <row r="230" spans="1:3" hidden="1" x14ac:dyDescent="0.2">
      <c r="A230" s="4" t="s">
        <v>4</v>
      </c>
      <c r="B230" s="4" t="s">
        <v>13</v>
      </c>
      <c r="C230" s="4">
        <v>0.324751183</v>
      </c>
    </row>
    <row r="231" spans="1:3" hidden="1" x14ac:dyDescent="0.2">
      <c r="A231" s="4" t="s">
        <v>5</v>
      </c>
      <c r="B231" s="4" t="s">
        <v>13</v>
      </c>
      <c r="C231" s="4">
        <v>0.92424630200000002</v>
      </c>
    </row>
    <row r="232" spans="1:3" hidden="1" x14ac:dyDescent="0.2">
      <c r="A232" s="4" t="s">
        <v>6</v>
      </c>
      <c r="B232" s="4" t="s">
        <v>13</v>
      </c>
      <c r="C232" s="4">
        <v>0.77321032300000003</v>
      </c>
    </row>
    <row r="233" spans="1:3" hidden="1" x14ac:dyDescent="0.2">
      <c r="A233" s="4" t="s">
        <v>7</v>
      </c>
      <c r="B233" s="4" t="s">
        <v>13</v>
      </c>
      <c r="C233" s="4">
        <v>0.91542589399999996</v>
      </c>
    </row>
    <row r="234" spans="1:3" hidden="1" x14ac:dyDescent="0.2">
      <c r="A234" s="4" t="s">
        <v>8</v>
      </c>
      <c r="B234" s="4" t="s">
        <v>13</v>
      </c>
      <c r="C234" s="4">
        <v>0.16982841400000001</v>
      </c>
    </row>
    <row r="235" spans="1:3" hidden="1" x14ac:dyDescent="0.2">
      <c r="A235" s="4" t="s">
        <v>9</v>
      </c>
      <c r="B235" s="4" t="s">
        <v>13</v>
      </c>
      <c r="C235" s="4">
        <v>0.93295322199999997</v>
      </c>
    </row>
    <row r="236" spans="1:3" hidden="1" x14ac:dyDescent="0.2">
      <c r="A236" s="4" t="s">
        <v>10</v>
      </c>
      <c r="B236" s="4" t="s">
        <v>13</v>
      </c>
      <c r="C236" s="4">
        <v>0.17345777900000001</v>
      </c>
    </row>
    <row r="237" spans="1:3" hidden="1" x14ac:dyDescent="0.2">
      <c r="A237" s="4" t="s">
        <v>11</v>
      </c>
      <c r="B237" s="4" t="s">
        <v>13</v>
      </c>
      <c r="C237" s="4">
        <v>0.232883439</v>
      </c>
    </row>
    <row r="238" spans="1:3" hidden="1" x14ac:dyDescent="0.2">
      <c r="A238" s="4" t="s">
        <v>12</v>
      </c>
      <c r="B238" s="4" t="s">
        <v>13</v>
      </c>
      <c r="C238" s="4">
        <v>0.44819383800000001</v>
      </c>
    </row>
    <row r="239" spans="1:3" hidden="1" x14ac:dyDescent="0.2">
      <c r="A239" s="4" t="s">
        <v>13</v>
      </c>
      <c r="B239" s="4" t="s">
        <v>13</v>
      </c>
      <c r="C239" s="4">
        <v>1</v>
      </c>
    </row>
    <row r="240" spans="1:3" x14ac:dyDescent="0.2">
      <c r="A240" s="4" t="s">
        <v>14</v>
      </c>
      <c r="B240" s="4" t="s">
        <v>13</v>
      </c>
      <c r="C240" s="10">
        <v>0.89019970199999998</v>
      </c>
    </row>
    <row r="241" spans="1:3" x14ac:dyDescent="0.2">
      <c r="A241" s="4" t="s">
        <v>15</v>
      </c>
      <c r="B241" s="4" t="s">
        <v>13</v>
      </c>
      <c r="C241" s="10">
        <v>0.92689101799999996</v>
      </c>
    </row>
    <row r="242" spans="1:3" x14ac:dyDescent="0.2">
      <c r="A242" s="4" t="s">
        <v>16</v>
      </c>
      <c r="B242" s="4" t="s">
        <v>13</v>
      </c>
      <c r="C242" s="10">
        <v>-0.40822434200000002</v>
      </c>
    </row>
    <row r="243" spans="1:3" x14ac:dyDescent="0.2">
      <c r="A243" s="4" t="s">
        <v>17</v>
      </c>
      <c r="B243" s="4" t="s">
        <v>13</v>
      </c>
      <c r="C243" s="10">
        <v>-2.5310794000000001E-2</v>
      </c>
    </row>
    <row r="244" spans="1:3" x14ac:dyDescent="0.2">
      <c r="A244" s="4" t="s">
        <v>18</v>
      </c>
      <c r="B244" s="4" t="s">
        <v>13</v>
      </c>
      <c r="C244" s="10">
        <v>0.211618003</v>
      </c>
    </row>
    <row r="245" spans="1:3" x14ac:dyDescent="0.2">
      <c r="A245" s="4" t="s">
        <v>19</v>
      </c>
      <c r="B245" s="4" t="s">
        <v>13</v>
      </c>
      <c r="C245" s="10">
        <v>7.0874063000000001E-2</v>
      </c>
    </row>
    <row r="246" spans="1:3" hidden="1" x14ac:dyDescent="0.2">
      <c r="A246" s="4" t="s">
        <v>3</v>
      </c>
      <c r="B246" s="4" t="s">
        <v>14</v>
      </c>
      <c r="C246" s="4">
        <v>0.58374119899999999</v>
      </c>
    </row>
    <row r="247" spans="1:3" hidden="1" x14ac:dyDescent="0.2">
      <c r="A247" s="4" t="s">
        <v>1</v>
      </c>
      <c r="B247" s="4" t="s">
        <v>14</v>
      </c>
      <c r="C247" s="4">
        <v>0.66664087800000005</v>
      </c>
    </row>
    <row r="248" spans="1:3" hidden="1" x14ac:dyDescent="0.2">
      <c r="A248" s="4" t="s">
        <v>2</v>
      </c>
      <c r="B248" s="4" t="s">
        <v>14</v>
      </c>
      <c r="C248" s="4">
        <v>0.89799747399999996</v>
      </c>
    </row>
    <row r="249" spans="1:3" hidden="1" x14ac:dyDescent="0.2">
      <c r="A249" s="4" t="s">
        <v>4</v>
      </c>
      <c r="B249" s="4" t="s">
        <v>14</v>
      </c>
      <c r="C249" s="4">
        <v>0.49668289199999999</v>
      </c>
    </row>
    <row r="250" spans="1:3" hidden="1" x14ac:dyDescent="0.2">
      <c r="A250" s="4" t="s">
        <v>5</v>
      </c>
      <c r="B250" s="4" t="s">
        <v>14</v>
      </c>
      <c r="C250" s="4">
        <v>0.97173762100000005</v>
      </c>
    </row>
    <row r="251" spans="1:3" hidden="1" x14ac:dyDescent="0.2">
      <c r="A251" s="4" t="s">
        <v>6</v>
      </c>
      <c r="B251" s="4" t="s">
        <v>14</v>
      </c>
      <c r="C251" s="4">
        <v>0.91400032499999995</v>
      </c>
    </row>
    <row r="252" spans="1:3" hidden="1" x14ac:dyDescent="0.2">
      <c r="A252" s="4" t="s">
        <v>7</v>
      </c>
      <c r="B252" s="4" t="s">
        <v>14</v>
      </c>
      <c r="C252" s="4">
        <v>0.96224240299999997</v>
      </c>
    </row>
    <row r="253" spans="1:3" hidden="1" x14ac:dyDescent="0.2">
      <c r="A253" s="4" t="s">
        <v>8</v>
      </c>
      <c r="B253" s="4" t="s">
        <v>14</v>
      </c>
      <c r="C253" s="4">
        <v>0.35499451799999998</v>
      </c>
    </row>
    <row r="254" spans="1:3" hidden="1" x14ac:dyDescent="0.2">
      <c r="A254" s="4" t="s">
        <v>9</v>
      </c>
      <c r="B254" s="4" t="s">
        <v>14</v>
      </c>
      <c r="C254" s="4">
        <v>0.98291508400000005</v>
      </c>
    </row>
    <row r="255" spans="1:3" hidden="1" x14ac:dyDescent="0.2">
      <c r="A255" s="4" t="s">
        <v>10</v>
      </c>
      <c r="B255" s="4" t="s">
        <v>14</v>
      </c>
      <c r="C255" s="4">
        <v>0.25210090400000001</v>
      </c>
    </row>
    <row r="256" spans="1:3" hidden="1" x14ac:dyDescent="0.2">
      <c r="A256" s="4" t="s">
        <v>11</v>
      </c>
      <c r="B256" s="4" t="s">
        <v>14</v>
      </c>
      <c r="C256" s="4">
        <v>0.30125955700000001</v>
      </c>
    </row>
    <row r="257" spans="1:3" hidden="1" x14ac:dyDescent="0.2">
      <c r="A257" s="4" t="s">
        <v>12</v>
      </c>
      <c r="B257" s="4" t="s">
        <v>14</v>
      </c>
      <c r="C257" s="4">
        <v>0.527855034</v>
      </c>
    </row>
    <row r="258" spans="1:3" hidden="1" x14ac:dyDescent="0.2">
      <c r="A258" s="4" t="s">
        <v>13</v>
      </c>
      <c r="B258" s="4" t="s">
        <v>14</v>
      </c>
      <c r="C258" s="4">
        <v>0.89019970199999998</v>
      </c>
    </row>
    <row r="259" spans="1:3" hidden="1" x14ac:dyDescent="0.2">
      <c r="A259" s="4" t="s">
        <v>14</v>
      </c>
      <c r="B259" s="4" t="s">
        <v>14</v>
      </c>
      <c r="C259" s="4">
        <v>1</v>
      </c>
    </row>
    <row r="260" spans="1:3" x14ac:dyDescent="0.2">
      <c r="A260" s="4" t="s">
        <v>15</v>
      </c>
      <c r="B260" s="4" t="s">
        <v>14</v>
      </c>
      <c r="C260" s="10">
        <v>0.976626039</v>
      </c>
    </row>
    <row r="261" spans="1:3" x14ac:dyDescent="0.2">
      <c r="A261" s="4" t="s">
        <v>16</v>
      </c>
      <c r="B261" s="4" t="s">
        <v>14</v>
      </c>
      <c r="C261" s="10">
        <v>-0.57087790800000004</v>
      </c>
    </row>
    <row r="262" spans="1:3" x14ac:dyDescent="0.2">
      <c r="A262" s="4" t="s">
        <v>17</v>
      </c>
      <c r="B262" s="4" t="s">
        <v>14</v>
      </c>
      <c r="C262" s="10">
        <v>-0.136154094</v>
      </c>
    </row>
    <row r="263" spans="1:3" x14ac:dyDescent="0.2">
      <c r="A263" s="4" t="s">
        <v>18</v>
      </c>
      <c r="B263" s="4" t="s">
        <v>14</v>
      </c>
      <c r="C263" s="10">
        <v>0.39896640700000002</v>
      </c>
    </row>
    <row r="264" spans="1:3" x14ac:dyDescent="0.2">
      <c r="A264" s="4" t="s">
        <v>19</v>
      </c>
      <c r="B264" s="4" t="s">
        <v>14</v>
      </c>
      <c r="C264" s="10">
        <v>0.28739624800000002</v>
      </c>
    </row>
    <row r="265" spans="1:3" hidden="1" x14ac:dyDescent="0.2">
      <c r="A265" s="4" t="s">
        <v>3</v>
      </c>
      <c r="B265" s="4" t="s">
        <v>15</v>
      </c>
      <c r="C265" s="4">
        <v>0.57819416899999998</v>
      </c>
    </row>
    <row r="266" spans="1:3" hidden="1" x14ac:dyDescent="0.2">
      <c r="A266" s="4" t="s">
        <v>1</v>
      </c>
      <c r="B266" s="4" t="s">
        <v>15</v>
      </c>
      <c r="C266" s="4">
        <v>0.67684243099999997</v>
      </c>
    </row>
    <row r="267" spans="1:3" hidden="1" x14ac:dyDescent="0.2">
      <c r="A267" s="4" t="s">
        <v>2</v>
      </c>
      <c r="B267" s="4" t="s">
        <v>15</v>
      </c>
      <c r="C267" s="4">
        <v>0.89571852900000004</v>
      </c>
    </row>
    <row r="268" spans="1:3" hidden="1" x14ac:dyDescent="0.2">
      <c r="A268" s="4" t="s">
        <v>4</v>
      </c>
      <c r="B268" s="4" t="s">
        <v>15</v>
      </c>
      <c r="C268" s="4">
        <v>0.52858790899999997</v>
      </c>
    </row>
    <row r="269" spans="1:3" hidden="1" x14ac:dyDescent="0.2">
      <c r="A269" s="4" t="s">
        <v>5</v>
      </c>
      <c r="B269" s="4" t="s">
        <v>15</v>
      </c>
      <c r="C269" s="4">
        <v>0.98180859099999995</v>
      </c>
    </row>
    <row r="270" spans="1:3" hidden="1" x14ac:dyDescent="0.2">
      <c r="A270" s="4" t="s">
        <v>6</v>
      </c>
      <c r="B270" s="4" t="s">
        <v>15</v>
      </c>
      <c r="C270" s="4">
        <v>0.91232318199999995</v>
      </c>
    </row>
    <row r="271" spans="1:3" hidden="1" x14ac:dyDescent="0.2">
      <c r="A271" s="4" t="s">
        <v>7</v>
      </c>
      <c r="B271" s="4" t="s">
        <v>15</v>
      </c>
      <c r="C271" s="4">
        <v>0.96935964399999996</v>
      </c>
    </row>
    <row r="272" spans="1:3" hidden="1" x14ac:dyDescent="0.2">
      <c r="A272" s="4" t="s">
        <v>8</v>
      </c>
      <c r="B272" s="4" t="s">
        <v>15</v>
      </c>
      <c r="C272" s="4">
        <v>0.33676245500000002</v>
      </c>
    </row>
    <row r="273" spans="1:3" hidden="1" x14ac:dyDescent="0.2">
      <c r="A273" s="4" t="s">
        <v>9</v>
      </c>
      <c r="B273" s="4" t="s">
        <v>15</v>
      </c>
      <c r="C273" s="4">
        <v>0.99267584099999995</v>
      </c>
    </row>
    <row r="274" spans="1:3" hidden="1" x14ac:dyDescent="0.2">
      <c r="A274" s="4" t="s">
        <v>10</v>
      </c>
      <c r="B274" s="4" t="s">
        <v>15</v>
      </c>
      <c r="C274" s="4">
        <v>0.28956533800000001</v>
      </c>
    </row>
    <row r="275" spans="1:3" hidden="1" x14ac:dyDescent="0.2">
      <c r="A275" s="4" t="s">
        <v>11</v>
      </c>
      <c r="B275" s="4" t="s">
        <v>15</v>
      </c>
      <c r="C275" s="4">
        <v>0.33352963800000002</v>
      </c>
    </row>
    <row r="276" spans="1:3" hidden="1" x14ac:dyDescent="0.2">
      <c r="A276" s="4" t="s">
        <v>12</v>
      </c>
      <c r="B276" s="4" t="s">
        <v>15</v>
      </c>
      <c r="C276" s="4">
        <v>0.54860160499999999</v>
      </c>
    </row>
    <row r="277" spans="1:3" hidden="1" x14ac:dyDescent="0.2">
      <c r="A277" s="4" t="s">
        <v>13</v>
      </c>
      <c r="B277" s="4" t="s">
        <v>15</v>
      </c>
      <c r="C277" s="4">
        <v>0.92689101799999996</v>
      </c>
    </row>
    <row r="278" spans="1:3" hidden="1" x14ac:dyDescent="0.2">
      <c r="A278" s="4" t="s">
        <v>14</v>
      </c>
      <c r="B278" s="4" t="s">
        <v>15</v>
      </c>
      <c r="C278" s="4">
        <v>0.976626039</v>
      </c>
    </row>
    <row r="279" spans="1:3" hidden="1" x14ac:dyDescent="0.2">
      <c r="A279" s="4" t="s">
        <v>15</v>
      </c>
      <c r="B279" s="4" t="s">
        <v>15</v>
      </c>
      <c r="C279" s="4">
        <v>1</v>
      </c>
    </row>
    <row r="280" spans="1:3" x14ac:dyDescent="0.2">
      <c r="A280" s="4" t="s">
        <v>16</v>
      </c>
      <c r="B280" s="4" t="s">
        <v>15</v>
      </c>
      <c r="C280" s="10">
        <v>-0.56066499800000003</v>
      </c>
    </row>
    <row r="281" spans="1:3" x14ac:dyDescent="0.2">
      <c r="A281" s="4" t="s">
        <v>17</v>
      </c>
      <c r="B281" s="4" t="s">
        <v>15</v>
      </c>
      <c r="C281" s="10">
        <v>-0.15376958399999999</v>
      </c>
    </row>
    <row r="282" spans="1:3" x14ac:dyDescent="0.2">
      <c r="A282" s="4" t="s">
        <v>18</v>
      </c>
      <c r="B282" s="4" t="s">
        <v>15</v>
      </c>
      <c r="C282" s="10">
        <v>0.41997964500000001</v>
      </c>
    </row>
    <row r="283" spans="1:3" x14ac:dyDescent="0.2">
      <c r="A283" s="4" t="s">
        <v>19</v>
      </c>
      <c r="B283" s="4" t="s">
        <v>15</v>
      </c>
      <c r="C283" s="10">
        <v>0.28976552799999999</v>
      </c>
    </row>
    <row r="284" spans="1:3" hidden="1" x14ac:dyDescent="0.2">
      <c r="A284" s="4" t="s">
        <v>3</v>
      </c>
      <c r="B284" s="4" t="s">
        <v>16</v>
      </c>
      <c r="C284" s="4">
        <v>-0.26121279400000003</v>
      </c>
    </row>
    <row r="285" spans="1:3" hidden="1" x14ac:dyDescent="0.2">
      <c r="A285" s="4" t="s">
        <v>1</v>
      </c>
      <c r="B285" s="4" t="s">
        <v>16</v>
      </c>
      <c r="C285" s="4">
        <v>-0.32612304600000003</v>
      </c>
    </row>
    <row r="286" spans="1:3" hidden="1" x14ac:dyDescent="0.2">
      <c r="A286" s="4" t="s">
        <v>2</v>
      </c>
      <c r="B286" s="4" t="s">
        <v>16</v>
      </c>
      <c r="C286" s="4">
        <v>-0.33603715099999998</v>
      </c>
    </row>
    <row r="287" spans="1:3" hidden="1" x14ac:dyDescent="0.2">
      <c r="A287" s="4" t="s">
        <v>4</v>
      </c>
      <c r="B287" s="4" t="s">
        <v>16</v>
      </c>
      <c r="C287" s="4">
        <v>-0.184231229</v>
      </c>
    </row>
    <row r="288" spans="1:3" hidden="1" x14ac:dyDescent="0.2">
      <c r="A288" s="4" t="s">
        <v>5</v>
      </c>
      <c r="B288" s="4" t="s">
        <v>16</v>
      </c>
      <c r="C288" s="4">
        <v>-0.46600868699999998</v>
      </c>
    </row>
    <row r="289" spans="1:3" hidden="1" x14ac:dyDescent="0.2">
      <c r="A289" s="4" t="s">
        <v>6</v>
      </c>
      <c r="B289" s="4" t="s">
        <v>16</v>
      </c>
      <c r="C289" s="4">
        <v>-0.447612022</v>
      </c>
    </row>
    <row r="290" spans="1:3" hidden="1" x14ac:dyDescent="0.2">
      <c r="A290" s="4" t="s">
        <v>7</v>
      </c>
      <c r="B290" s="4" t="s">
        <v>16</v>
      </c>
      <c r="C290" s="4">
        <v>-0.42854584800000001</v>
      </c>
    </row>
    <row r="291" spans="1:3" hidden="1" x14ac:dyDescent="0.2">
      <c r="A291" s="4" t="s">
        <v>8</v>
      </c>
      <c r="B291" s="4" t="s">
        <v>16</v>
      </c>
      <c r="C291" s="4">
        <v>-0.57601878200000001</v>
      </c>
    </row>
    <row r="292" spans="1:3" hidden="1" x14ac:dyDescent="0.2">
      <c r="A292" s="4" t="s">
        <v>9</v>
      </c>
      <c r="B292" s="4" t="s">
        <v>16</v>
      </c>
      <c r="C292" s="4">
        <v>-0.53312208100000003</v>
      </c>
    </row>
    <row r="293" spans="1:3" hidden="1" x14ac:dyDescent="0.2">
      <c r="A293" s="4" t="s">
        <v>10</v>
      </c>
      <c r="B293" s="4" t="s">
        <v>16</v>
      </c>
      <c r="C293" s="4">
        <v>0.114778964</v>
      </c>
    </row>
    <row r="294" spans="1:3" hidden="1" x14ac:dyDescent="0.2">
      <c r="A294" s="4" t="s">
        <v>11</v>
      </c>
      <c r="B294" s="4" t="s">
        <v>16</v>
      </c>
      <c r="C294" s="4">
        <v>0.135431262</v>
      </c>
    </row>
    <row r="295" spans="1:3" hidden="1" x14ac:dyDescent="0.2">
      <c r="A295" s="4" t="s">
        <v>12</v>
      </c>
      <c r="B295" s="4" t="s">
        <v>16</v>
      </c>
      <c r="C295" s="4">
        <v>-2.2670682000000001E-2</v>
      </c>
    </row>
    <row r="296" spans="1:3" hidden="1" x14ac:dyDescent="0.2">
      <c r="A296" s="4" t="s">
        <v>13</v>
      </c>
      <c r="B296" s="4" t="s">
        <v>16</v>
      </c>
      <c r="C296" s="4">
        <v>-0.40822434200000002</v>
      </c>
    </row>
    <row r="297" spans="1:3" hidden="1" x14ac:dyDescent="0.2">
      <c r="A297" s="4" t="s">
        <v>14</v>
      </c>
      <c r="B297" s="4" t="s">
        <v>16</v>
      </c>
      <c r="C297" s="4">
        <v>-0.57087790800000004</v>
      </c>
    </row>
    <row r="298" spans="1:3" hidden="1" x14ac:dyDescent="0.2">
      <c r="A298" s="4" t="s">
        <v>15</v>
      </c>
      <c r="B298" s="4" t="s">
        <v>16</v>
      </c>
      <c r="C298" s="4">
        <v>-0.56066499800000003</v>
      </c>
    </row>
    <row r="299" spans="1:3" hidden="1" x14ac:dyDescent="0.2">
      <c r="A299" s="4" t="s">
        <v>16</v>
      </c>
      <c r="B299" s="4" t="s">
        <v>16</v>
      </c>
      <c r="C299" s="4">
        <v>1</v>
      </c>
    </row>
    <row r="300" spans="1:3" x14ac:dyDescent="0.2">
      <c r="A300" s="4" t="s">
        <v>17</v>
      </c>
      <c r="B300" s="4" t="s">
        <v>16</v>
      </c>
      <c r="C300" s="10">
        <v>-0.339729583</v>
      </c>
    </row>
    <row r="301" spans="1:3" x14ac:dyDescent="0.2">
      <c r="A301" s="4" t="s">
        <v>18</v>
      </c>
      <c r="B301" s="4" t="s">
        <v>16</v>
      </c>
      <c r="C301" s="10">
        <v>-0.14903408200000001</v>
      </c>
    </row>
    <row r="302" spans="1:3" x14ac:dyDescent="0.2">
      <c r="A302" s="4" t="s">
        <v>19</v>
      </c>
      <c r="B302" s="4" t="s">
        <v>16</v>
      </c>
      <c r="C302" s="10">
        <v>-5.993333E-2</v>
      </c>
    </row>
    <row r="303" spans="1:3" hidden="1" x14ac:dyDescent="0.2">
      <c r="A303" s="4" t="s">
        <v>3</v>
      </c>
      <c r="B303" s="4" t="s">
        <v>17</v>
      </c>
      <c r="C303" s="4">
        <v>-0.39301572099999998</v>
      </c>
    </row>
    <row r="304" spans="1:3" hidden="1" x14ac:dyDescent="0.2">
      <c r="A304" s="4" t="s">
        <v>1</v>
      </c>
      <c r="B304" s="4" t="s">
        <v>17</v>
      </c>
      <c r="C304" s="4">
        <v>-0.56867321100000001</v>
      </c>
    </row>
    <row r="305" spans="1:3" hidden="1" x14ac:dyDescent="0.2">
      <c r="A305" s="4" t="s">
        <v>2</v>
      </c>
      <c r="B305" s="4" t="s">
        <v>17</v>
      </c>
      <c r="C305" s="4">
        <v>-0.20264354000000001</v>
      </c>
    </row>
    <row r="306" spans="1:3" hidden="1" x14ac:dyDescent="0.2">
      <c r="A306" s="4" t="s">
        <v>4</v>
      </c>
      <c r="B306" s="4" t="s">
        <v>17</v>
      </c>
      <c r="C306" s="4">
        <v>-0.64237169100000002</v>
      </c>
    </row>
    <row r="307" spans="1:3" hidden="1" x14ac:dyDescent="0.2">
      <c r="A307" s="4" t="s">
        <v>5</v>
      </c>
      <c r="B307" s="4" t="s">
        <v>17</v>
      </c>
      <c r="C307" s="4">
        <v>-0.19937563699999999</v>
      </c>
    </row>
    <row r="308" spans="1:3" hidden="1" x14ac:dyDescent="0.2">
      <c r="A308" s="4" t="s">
        <v>6</v>
      </c>
      <c r="B308" s="4" t="s">
        <v>17</v>
      </c>
      <c r="C308" s="4">
        <v>-0.41786233099999998</v>
      </c>
    </row>
    <row r="309" spans="1:3" hidden="1" x14ac:dyDescent="0.2">
      <c r="A309" s="4" t="s">
        <v>7</v>
      </c>
      <c r="B309" s="4" t="s">
        <v>17</v>
      </c>
      <c r="C309" s="4">
        <v>-0.218202389</v>
      </c>
    </row>
    <row r="310" spans="1:3" hidden="1" x14ac:dyDescent="0.2">
      <c r="A310" s="4" t="s">
        <v>8</v>
      </c>
      <c r="B310" s="4" t="s">
        <v>17</v>
      </c>
      <c r="C310" s="4">
        <v>-2.0199102E-2</v>
      </c>
    </row>
    <row r="311" spans="1:3" hidden="1" x14ac:dyDescent="0.2">
      <c r="A311" s="4" t="s">
        <v>9</v>
      </c>
      <c r="B311" s="4" t="s">
        <v>17</v>
      </c>
      <c r="C311" s="4">
        <v>-0.14695154199999999</v>
      </c>
    </row>
    <row r="312" spans="1:3" hidden="1" x14ac:dyDescent="0.2">
      <c r="A312" s="4" t="s">
        <v>10</v>
      </c>
      <c r="B312" s="4" t="s">
        <v>17</v>
      </c>
      <c r="C312" s="4">
        <v>-0.54677941699999999</v>
      </c>
    </row>
    <row r="313" spans="1:3" hidden="1" x14ac:dyDescent="0.2">
      <c r="A313" s="4" t="s">
        <v>11</v>
      </c>
      <c r="B313" s="4" t="s">
        <v>17</v>
      </c>
      <c r="C313" s="4">
        <v>-0.53378551500000004</v>
      </c>
    </row>
    <row r="314" spans="1:3" hidden="1" x14ac:dyDescent="0.2">
      <c r="A314" s="4" t="s">
        <v>12</v>
      </c>
      <c r="B314" s="4" t="s">
        <v>17</v>
      </c>
      <c r="C314" s="4">
        <v>-0.48709780000000003</v>
      </c>
    </row>
    <row r="315" spans="1:3" hidden="1" x14ac:dyDescent="0.2">
      <c r="A315" s="4" t="s">
        <v>13</v>
      </c>
      <c r="B315" s="4" t="s">
        <v>17</v>
      </c>
      <c r="C315" s="4">
        <v>-2.5310794000000001E-2</v>
      </c>
    </row>
    <row r="316" spans="1:3" hidden="1" x14ac:dyDescent="0.2">
      <c r="A316" s="4" t="s">
        <v>14</v>
      </c>
      <c r="B316" s="4" t="s">
        <v>17</v>
      </c>
      <c r="C316" s="4">
        <v>-0.136154094</v>
      </c>
    </row>
    <row r="317" spans="1:3" hidden="1" x14ac:dyDescent="0.2">
      <c r="A317" s="4" t="s">
        <v>15</v>
      </c>
      <c r="B317" s="4" t="s">
        <v>17</v>
      </c>
      <c r="C317" s="4">
        <v>-0.15376958399999999</v>
      </c>
    </row>
    <row r="318" spans="1:3" hidden="1" x14ac:dyDescent="0.2">
      <c r="A318" s="4" t="s">
        <v>16</v>
      </c>
      <c r="B318" s="4" t="s">
        <v>17</v>
      </c>
      <c r="C318" s="4">
        <v>-0.339729583</v>
      </c>
    </row>
    <row r="319" spans="1:3" hidden="1" x14ac:dyDescent="0.2">
      <c r="A319" s="4" t="s">
        <v>17</v>
      </c>
      <c r="B319" s="4" t="s">
        <v>17</v>
      </c>
      <c r="C319" s="4">
        <v>1</v>
      </c>
    </row>
    <row r="320" spans="1:3" x14ac:dyDescent="0.2">
      <c r="A320" s="4" t="s">
        <v>18</v>
      </c>
      <c r="B320" s="4" t="s">
        <v>17</v>
      </c>
      <c r="C320" s="10">
        <v>-0.55144424599999997</v>
      </c>
    </row>
    <row r="321" spans="1:3" x14ac:dyDescent="0.2">
      <c r="A321" s="4" t="s">
        <v>19</v>
      </c>
      <c r="B321" s="4" t="s">
        <v>17</v>
      </c>
      <c r="C321" s="10">
        <v>-0.52533537799999996</v>
      </c>
    </row>
    <row r="322" spans="1:3" hidden="1" x14ac:dyDescent="0.2">
      <c r="A322" s="4" t="s">
        <v>3</v>
      </c>
      <c r="B322" s="4" t="s">
        <v>18</v>
      </c>
      <c r="C322" s="4">
        <v>0.498955223</v>
      </c>
    </row>
    <row r="323" spans="1:3" hidden="1" x14ac:dyDescent="0.2">
      <c r="A323" s="4" t="s">
        <v>1</v>
      </c>
      <c r="B323" s="4" t="s">
        <v>18</v>
      </c>
      <c r="C323" s="4">
        <v>0.62073815200000004</v>
      </c>
    </row>
    <row r="324" spans="1:3" hidden="1" x14ac:dyDescent="0.2">
      <c r="A324" s="4" t="s">
        <v>2</v>
      </c>
      <c r="B324" s="4" t="s">
        <v>18</v>
      </c>
      <c r="C324" s="4">
        <v>0.43941938899999999</v>
      </c>
    </row>
    <row r="325" spans="1:3" hidden="1" x14ac:dyDescent="0.2">
      <c r="A325" s="4" t="s">
        <v>4</v>
      </c>
      <c r="B325" s="4" t="s">
        <v>18</v>
      </c>
      <c r="C325" s="4">
        <v>0.71655983300000003</v>
      </c>
    </row>
    <row r="326" spans="1:3" hidden="1" x14ac:dyDescent="0.2">
      <c r="A326" s="4" t="s">
        <v>5</v>
      </c>
      <c r="B326" s="4" t="s">
        <v>18</v>
      </c>
      <c r="C326" s="4">
        <v>0.44066025199999997</v>
      </c>
    </row>
    <row r="327" spans="1:3" hidden="1" x14ac:dyDescent="0.2">
      <c r="A327" s="4" t="s">
        <v>6</v>
      </c>
      <c r="B327" s="4" t="s">
        <v>18</v>
      </c>
      <c r="C327" s="4">
        <v>0.55363314299999999</v>
      </c>
    </row>
    <row r="328" spans="1:3" hidden="1" x14ac:dyDescent="0.2">
      <c r="A328" s="4" t="s">
        <v>7</v>
      </c>
      <c r="B328" s="4" t="s">
        <v>18</v>
      </c>
      <c r="C328" s="4">
        <v>0.426831919</v>
      </c>
    </row>
    <row r="329" spans="1:3" hidden="1" x14ac:dyDescent="0.2">
      <c r="A329" s="4" t="s">
        <v>8</v>
      </c>
      <c r="B329" s="4" t="s">
        <v>18</v>
      </c>
      <c r="C329" s="4">
        <v>0.13022499500000001</v>
      </c>
    </row>
    <row r="330" spans="1:3" hidden="1" x14ac:dyDescent="0.2">
      <c r="A330" s="4" t="s">
        <v>9</v>
      </c>
      <c r="B330" s="4" t="s">
        <v>18</v>
      </c>
      <c r="C330" s="4">
        <v>0.39140945700000002</v>
      </c>
    </row>
    <row r="331" spans="1:3" hidden="1" x14ac:dyDescent="0.2">
      <c r="A331" s="4" t="s">
        <v>10</v>
      </c>
      <c r="B331" s="4" t="s">
        <v>18</v>
      </c>
      <c r="C331" s="4">
        <v>0.75872503899999999</v>
      </c>
    </row>
    <row r="332" spans="1:3" hidden="1" x14ac:dyDescent="0.2">
      <c r="A332" s="4" t="s">
        <v>11</v>
      </c>
      <c r="B332" s="4" t="s">
        <v>18</v>
      </c>
      <c r="C332" s="4">
        <v>0.74058606199999999</v>
      </c>
    </row>
    <row r="333" spans="1:3" hidden="1" x14ac:dyDescent="0.2">
      <c r="A333" s="4" t="s">
        <v>12</v>
      </c>
      <c r="B333" s="4" t="s">
        <v>18</v>
      </c>
      <c r="C333" s="4">
        <v>0.78229312500000003</v>
      </c>
    </row>
    <row r="334" spans="1:3" hidden="1" x14ac:dyDescent="0.2">
      <c r="A334" s="4" t="s">
        <v>13</v>
      </c>
      <c r="B334" s="4" t="s">
        <v>18</v>
      </c>
      <c r="C334" s="4">
        <v>0.211618003</v>
      </c>
    </row>
    <row r="335" spans="1:3" hidden="1" x14ac:dyDescent="0.2">
      <c r="A335" s="4" t="s">
        <v>14</v>
      </c>
      <c r="B335" s="4" t="s">
        <v>18</v>
      </c>
      <c r="C335" s="4">
        <v>0.39896640700000002</v>
      </c>
    </row>
    <row r="336" spans="1:3" hidden="1" x14ac:dyDescent="0.2">
      <c r="A336" s="4" t="s">
        <v>15</v>
      </c>
      <c r="B336" s="4" t="s">
        <v>18</v>
      </c>
      <c r="C336" s="4">
        <v>0.41997964500000001</v>
      </c>
    </row>
    <row r="337" spans="1:3" hidden="1" x14ac:dyDescent="0.2">
      <c r="A337" s="4" t="s">
        <v>16</v>
      </c>
      <c r="B337" s="4" t="s">
        <v>18</v>
      </c>
      <c r="C337" s="4">
        <v>-0.14903408200000001</v>
      </c>
    </row>
    <row r="338" spans="1:3" hidden="1" x14ac:dyDescent="0.2">
      <c r="A338" s="4" t="s">
        <v>17</v>
      </c>
      <c r="B338" s="4" t="s">
        <v>18</v>
      </c>
      <c r="C338" s="4">
        <v>-0.55144424599999997</v>
      </c>
    </row>
    <row r="339" spans="1:3" hidden="1" x14ac:dyDescent="0.2">
      <c r="A339" s="4" t="s">
        <v>18</v>
      </c>
      <c r="B339" s="4" t="s">
        <v>18</v>
      </c>
      <c r="C339" s="4">
        <v>1</v>
      </c>
    </row>
    <row r="340" spans="1:3" x14ac:dyDescent="0.2">
      <c r="A340" s="4" t="s">
        <v>19</v>
      </c>
      <c r="B340" s="4" t="s">
        <v>18</v>
      </c>
      <c r="C340" s="10">
        <v>0.93547929100000005</v>
      </c>
    </row>
    <row r="341" spans="1:3" hidden="1" x14ac:dyDescent="0.2">
      <c r="A341" s="4" t="s">
        <v>3</v>
      </c>
      <c r="B341" s="4" t="s">
        <v>18</v>
      </c>
      <c r="C341" s="4">
        <v>0.498955223</v>
      </c>
    </row>
    <row r="342" spans="1:3" hidden="1" x14ac:dyDescent="0.2">
      <c r="A342" s="4" t="s">
        <v>1</v>
      </c>
      <c r="B342" s="4" t="s">
        <v>18</v>
      </c>
      <c r="C342" s="4">
        <v>0.62073815200000004</v>
      </c>
    </row>
    <row r="343" spans="1:3" hidden="1" x14ac:dyDescent="0.2">
      <c r="A343" s="4" t="s">
        <v>2</v>
      </c>
      <c r="B343" s="4" t="s">
        <v>18</v>
      </c>
      <c r="C343" s="4">
        <v>0.43941938899999999</v>
      </c>
    </row>
    <row r="344" spans="1:3" hidden="1" x14ac:dyDescent="0.2">
      <c r="A344" s="4" t="s">
        <v>4</v>
      </c>
      <c r="B344" s="4" t="s">
        <v>18</v>
      </c>
      <c r="C344" s="4">
        <v>0.71655983300000003</v>
      </c>
    </row>
    <row r="345" spans="1:3" hidden="1" x14ac:dyDescent="0.2">
      <c r="A345" s="4" t="s">
        <v>5</v>
      </c>
      <c r="B345" s="4" t="s">
        <v>18</v>
      </c>
      <c r="C345" s="4">
        <v>0.44066025199999997</v>
      </c>
    </row>
    <row r="346" spans="1:3" hidden="1" x14ac:dyDescent="0.2">
      <c r="A346" s="4" t="s">
        <v>6</v>
      </c>
      <c r="B346" s="4" t="s">
        <v>18</v>
      </c>
      <c r="C346" s="4">
        <v>0.55363314299999999</v>
      </c>
    </row>
    <row r="347" spans="1:3" hidden="1" x14ac:dyDescent="0.2">
      <c r="A347" s="4" t="s">
        <v>7</v>
      </c>
      <c r="B347" s="4" t="s">
        <v>18</v>
      </c>
      <c r="C347" s="4">
        <v>0.426831919</v>
      </c>
    </row>
    <row r="348" spans="1:3" hidden="1" x14ac:dyDescent="0.2">
      <c r="A348" s="4" t="s">
        <v>8</v>
      </c>
      <c r="B348" s="4" t="s">
        <v>18</v>
      </c>
      <c r="C348" s="4">
        <v>0.13022499500000001</v>
      </c>
    </row>
    <row r="349" spans="1:3" hidden="1" x14ac:dyDescent="0.2">
      <c r="A349" s="4" t="s">
        <v>9</v>
      </c>
      <c r="B349" s="4" t="s">
        <v>18</v>
      </c>
      <c r="C349" s="4">
        <v>0.39140945700000002</v>
      </c>
    </row>
    <row r="350" spans="1:3" hidden="1" x14ac:dyDescent="0.2">
      <c r="A350" s="4" t="s">
        <v>10</v>
      </c>
      <c r="B350" s="4" t="s">
        <v>18</v>
      </c>
      <c r="C350" s="4">
        <v>0.75872503899999999</v>
      </c>
    </row>
    <row r="351" spans="1:3" hidden="1" x14ac:dyDescent="0.2">
      <c r="A351" s="4" t="s">
        <v>11</v>
      </c>
      <c r="B351" s="4" t="s">
        <v>18</v>
      </c>
      <c r="C351" s="4">
        <v>0.74058606199999999</v>
      </c>
    </row>
    <row r="352" spans="1:3" hidden="1" x14ac:dyDescent="0.2">
      <c r="A352" s="4" t="s">
        <v>12</v>
      </c>
      <c r="B352" s="4" t="s">
        <v>18</v>
      </c>
      <c r="C352" s="4">
        <v>0.78229312500000003</v>
      </c>
    </row>
    <row r="353" spans="1:3" hidden="1" x14ac:dyDescent="0.2">
      <c r="A353" s="4" t="s">
        <v>13</v>
      </c>
      <c r="B353" s="4" t="s">
        <v>18</v>
      </c>
      <c r="C353" s="4">
        <v>0.211618003</v>
      </c>
    </row>
    <row r="354" spans="1:3" hidden="1" x14ac:dyDescent="0.2">
      <c r="A354" s="4" t="s">
        <v>14</v>
      </c>
      <c r="B354" s="4" t="s">
        <v>18</v>
      </c>
      <c r="C354" s="4">
        <v>0.39896640700000002</v>
      </c>
    </row>
    <row r="355" spans="1:3" hidden="1" x14ac:dyDescent="0.2">
      <c r="A355" s="4" t="s">
        <v>15</v>
      </c>
      <c r="B355" s="4" t="s">
        <v>18</v>
      </c>
      <c r="C355" s="4">
        <v>0.41997964500000001</v>
      </c>
    </row>
    <row r="356" spans="1:3" hidden="1" x14ac:dyDescent="0.2">
      <c r="A356" s="4" t="s">
        <v>16</v>
      </c>
      <c r="B356" s="4" t="s">
        <v>18</v>
      </c>
      <c r="C356" s="4">
        <v>-0.14903408200000001</v>
      </c>
    </row>
    <row r="357" spans="1:3" hidden="1" x14ac:dyDescent="0.2">
      <c r="A357" s="4" t="s">
        <v>17</v>
      </c>
      <c r="B357" s="4" t="s">
        <v>18</v>
      </c>
      <c r="C357" s="4">
        <v>-0.55144424599999997</v>
      </c>
    </row>
    <row r="358" spans="1:3" hidden="1" x14ac:dyDescent="0.2">
      <c r="A358" s="4" t="s">
        <v>18</v>
      </c>
      <c r="B358" s="4" t="s">
        <v>18</v>
      </c>
      <c r="C358" s="4">
        <v>1</v>
      </c>
    </row>
    <row r="359" spans="1:3" hidden="1" x14ac:dyDescent="0.2">
      <c r="A359" s="4" t="s">
        <v>19</v>
      </c>
      <c r="B359" s="4" t="s">
        <v>18</v>
      </c>
      <c r="C359" s="4">
        <v>0.93547929100000005</v>
      </c>
    </row>
    <row r="360" spans="1:3" hidden="1" x14ac:dyDescent="0.2">
      <c r="A360" s="4" t="s">
        <v>3</v>
      </c>
      <c r="B360" s="4" t="s">
        <v>19</v>
      </c>
      <c r="C360" s="4">
        <v>0.367513064</v>
      </c>
    </row>
    <row r="361" spans="1:3" hidden="1" x14ac:dyDescent="0.2">
      <c r="A361" s="4" t="s">
        <v>1</v>
      </c>
      <c r="B361" s="4" t="s">
        <v>19</v>
      </c>
      <c r="C361" s="4">
        <v>0.51627057600000004</v>
      </c>
    </row>
    <row r="362" spans="1:3" hidden="1" x14ac:dyDescent="0.2">
      <c r="A362" s="4" t="s">
        <v>2</v>
      </c>
      <c r="B362" s="4" t="s">
        <v>19</v>
      </c>
      <c r="C362" s="4">
        <v>0.298094474</v>
      </c>
    </row>
    <row r="363" spans="1:3" hidden="1" x14ac:dyDescent="0.2">
      <c r="A363" s="4" t="s">
        <v>4</v>
      </c>
      <c r="B363" s="4" t="s">
        <v>19</v>
      </c>
      <c r="C363" s="4">
        <v>0.63418148500000004</v>
      </c>
    </row>
    <row r="364" spans="1:3" hidden="1" x14ac:dyDescent="0.2">
      <c r="A364" s="4" t="s">
        <v>5</v>
      </c>
      <c r="B364" s="4" t="s">
        <v>19</v>
      </c>
      <c r="C364" s="4">
        <v>0.30343725799999999</v>
      </c>
    </row>
    <row r="365" spans="1:3" hidden="1" x14ac:dyDescent="0.2">
      <c r="A365" s="4" t="s">
        <v>6</v>
      </c>
      <c r="B365" s="4" t="s">
        <v>19</v>
      </c>
      <c r="C365" s="4">
        <v>0.410204126</v>
      </c>
    </row>
    <row r="366" spans="1:3" hidden="1" x14ac:dyDescent="0.2">
      <c r="A366" s="4" t="s">
        <v>7</v>
      </c>
      <c r="B366" s="4" t="s">
        <v>19</v>
      </c>
      <c r="C366" s="4">
        <v>0.28396193400000003</v>
      </c>
    </row>
    <row r="367" spans="1:3" hidden="1" x14ac:dyDescent="0.2">
      <c r="A367" s="4" t="s">
        <v>8</v>
      </c>
      <c r="B367" s="4" t="s">
        <v>19</v>
      </c>
      <c r="C367" s="4">
        <v>0.106983177</v>
      </c>
    </row>
    <row r="368" spans="1:3" hidden="1" x14ac:dyDescent="0.2">
      <c r="A368" s="4" t="s">
        <v>9</v>
      </c>
      <c r="B368" s="4" t="s">
        <v>19</v>
      </c>
      <c r="C368" s="4">
        <v>0.25628356499999999</v>
      </c>
    </row>
    <row r="369" spans="1:3" hidden="1" x14ac:dyDescent="0.2">
      <c r="A369" s="4" t="s">
        <v>10</v>
      </c>
      <c r="B369" s="4" t="s">
        <v>19</v>
      </c>
      <c r="C369" s="4">
        <v>0.74002958900000004</v>
      </c>
    </row>
    <row r="370" spans="1:3" hidden="1" x14ac:dyDescent="0.2">
      <c r="A370" s="4" t="s">
        <v>11</v>
      </c>
      <c r="B370" s="4" t="s">
        <v>19</v>
      </c>
      <c r="C370" s="4">
        <v>0.73080751200000005</v>
      </c>
    </row>
    <row r="371" spans="1:3" hidden="1" x14ac:dyDescent="0.2">
      <c r="A371" s="4" t="s">
        <v>12</v>
      </c>
      <c r="B371" s="4" t="s">
        <v>19</v>
      </c>
      <c r="C371" s="4">
        <v>0.71120256199999998</v>
      </c>
    </row>
    <row r="372" spans="1:3" hidden="1" x14ac:dyDescent="0.2">
      <c r="A372" s="4" t="s">
        <v>13</v>
      </c>
      <c r="B372" s="4" t="s">
        <v>19</v>
      </c>
      <c r="C372" s="4">
        <v>7.0874063000000001E-2</v>
      </c>
    </row>
    <row r="373" spans="1:3" hidden="1" x14ac:dyDescent="0.2">
      <c r="A373" s="4" t="s">
        <v>14</v>
      </c>
      <c r="B373" s="4" t="s">
        <v>19</v>
      </c>
      <c r="C373" s="4">
        <v>0.28739624800000002</v>
      </c>
    </row>
    <row r="374" spans="1:3" hidden="1" x14ac:dyDescent="0.2">
      <c r="A374" s="4" t="s">
        <v>15</v>
      </c>
      <c r="B374" s="4" t="s">
        <v>19</v>
      </c>
      <c r="C374" s="4">
        <v>0.28976552799999999</v>
      </c>
    </row>
    <row r="375" spans="1:3" hidden="1" x14ac:dyDescent="0.2">
      <c r="A375" s="4" t="s">
        <v>16</v>
      </c>
      <c r="B375" s="4" t="s">
        <v>19</v>
      </c>
      <c r="C375" s="4">
        <v>-5.993333E-2</v>
      </c>
    </row>
    <row r="376" spans="1:3" hidden="1" x14ac:dyDescent="0.2">
      <c r="A376" s="4" t="s">
        <v>17</v>
      </c>
      <c r="B376" s="4" t="s">
        <v>19</v>
      </c>
      <c r="C376" s="4">
        <v>-0.52533537799999996</v>
      </c>
    </row>
    <row r="377" spans="1:3" hidden="1" x14ac:dyDescent="0.2">
      <c r="A377" s="4" t="s">
        <v>18</v>
      </c>
      <c r="B377" s="4" t="s">
        <v>19</v>
      </c>
      <c r="C377" s="4">
        <v>0.93547929100000005</v>
      </c>
    </row>
    <row r="378" spans="1:3" hidden="1" x14ac:dyDescent="0.2">
      <c r="A378" s="4" t="s">
        <v>19</v>
      </c>
      <c r="B378" s="4" t="s">
        <v>19</v>
      </c>
      <c r="C378" s="4">
        <v>1</v>
      </c>
    </row>
    <row r="379" spans="1:3" x14ac:dyDescent="0.2">
      <c r="A379" s="4"/>
      <c r="B379" s="4"/>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08DFE-91FF-7C47-9763-9F2119A082E9}">
  <sheetPr codeName="Sheet8"/>
  <dimension ref="A3:H11"/>
  <sheetViews>
    <sheetView zoomScale="61" workbookViewId="0">
      <selection activeCell="A3" sqref="A3:H11"/>
    </sheetView>
  </sheetViews>
  <sheetFormatPr baseColWidth="10" defaultRowHeight="15" x14ac:dyDescent="0.2"/>
  <cols>
    <col min="1" max="1" width="72.5" bestFit="1" customWidth="1"/>
    <col min="2" max="2" width="63.6640625" bestFit="1" customWidth="1"/>
    <col min="3" max="3" width="72.6640625" bestFit="1" customWidth="1"/>
    <col min="4" max="4" width="66.83203125" bestFit="1" customWidth="1"/>
    <col min="5" max="5" width="74.5" bestFit="1" customWidth="1"/>
    <col min="6" max="6" width="61.5" bestFit="1" customWidth="1"/>
    <col min="7" max="7" width="72.6640625" bestFit="1" customWidth="1"/>
    <col min="8" max="8" width="75.33203125" bestFit="1" customWidth="1"/>
    <col min="9" max="9" width="18" customWidth="1"/>
    <col min="10" max="10" width="19.83203125" customWidth="1"/>
    <col min="11" max="11" width="19.33203125" customWidth="1"/>
    <col min="12" max="12" width="16.83203125" customWidth="1"/>
    <col min="13" max="13" width="17.5" customWidth="1"/>
    <col min="14" max="14" width="19.1640625" customWidth="1"/>
    <col min="15" max="15" width="22.5" customWidth="1"/>
    <col min="16" max="16" width="22" customWidth="1"/>
    <col min="17" max="17" width="17.83203125" bestFit="1" customWidth="1"/>
    <col min="18" max="18" width="23.6640625" customWidth="1"/>
    <col min="19" max="19" width="18.5" bestFit="1" customWidth="1"/>
    <col min="20" max="20" width="12.6640625" bestFit="1" customWidth="1"/>
  </cols>
  <sheetData>
    <row r="3" spans="1:8" x14ac:dyDescent="0.2">
      <c r="A3" s="7" t="s">
        <v>25</v>
      </c>
      <c r="B3" s="7" t="s">
        <v>24</v>
      </c>
    </row>
    <row r="4" spans="1:8" x14ac:dyDescent="0.2">
      <c r="A4" s="7" t="s">
        <v>23</v>
      </c>
      <c r="B4" t="s">
        <v>7</v>
      </c>
      <c r="C4" t="s">
        <v>6</v>
      </c>
      <c r="D4" t="s">
        <v>5</v>
      </c>
      <c r="E4" t="s">
        <v>4</v>
      </c>
      <c r="F4" t="s">
        <v>3</v>
      </c>
      <c r="G4" t="s">
        <v>2</v>
      </c>
      <c r="H4" t="s">
        <v>1</v>
      </c>
    </row>
    <row r="5" spans="1:8" x14ac:dyDescent="0.2">
      <c r="A5" s="8" t="s">
        <v>6</v>
      </c>
      <c r="B5" s="4">
        <v>0.93047618200000004</v>
      </c>
      <c r="C5" s="4">
        <v>1</v>
      </c>
      <c r="D5" s="4">
        <v>0.93066506400000004</v>
      </c>
      <c r="E5" s="4">
        <v>0.70256608399999998</v>
      </c>
      <c r="F5" s="4">
        <v>0.74131938500000005</v>
      </c>
      <c r="G5" s="4">
        <v>0.87802830899999995</v>
      </c>
      <c r="H5" s="4">
        <v>0.84187201899999997</v>
      </c>
    </row>
    <row r="6" spans="1:8" x14ac:dyDescent="0.2">
      <c r="A6" s="8" t="s">
        <v>7</v>
      </c>
      <c r="B6" s="4">
        <v>1</v>
      </c>
      <c r="C6" s="4">
        <v>0.93047618200000004</v>
      </c>
      <c r="D6" s="4">
        <v>0.995818341</v>
      </c>
      <c r="E6" s="4">
        <v>0.55307086599999999</v>
      </c>
      <c r="F6" s="4">
        <v>0.64081364299999999</v>
      </c>
      <c r="G6" s="4">
        <v>0.96152926800000005</v>
      </c>
      <c r="H6" s="4">
        <v>0.68493674400000004</v>
      </c>
    </row>
    <row r="7" spans="1:8" x14ac:dyDescent="0.2">
      <c r="A7" s="8" t="s">
        <v>5</v>
      </c>
      <c r="B7" s="4">
        <v>0.995818341</v>
      </c>
      <c r="C7" s="4">
        <v>0.93066506400000004</v>
      </c>
      <c r="D7" s="4">
        <v>1</v>
      </c>
      <c r="E7" s="4">
        <v>0.53831151499999996</v>
      </c>
      <c r="F7" s="4">
        <v>0.61616607000000001</v>
      </c>
      <c r="G7" s="4">
        <v>0.94561400900000003</v>
      </c>
      <c r="H7" s="4">
        <v>0.67207541900000001</v>
      </c>
    </row>
    <row r="8" spans="1:8" x14ac:dyDescent="0.2">
      <c r="A8" s="8" t="s">
        <v>2</v>
      </c>
      <c r="B8" s="4">
        <v>0.96152926800000005</v>
      </c>
      <c r="C8" s="4">
        <v>0.87802830899999995</v>
      </c>
      <c r="D8" s="4">
        <v>0.94561400900000003</v>
      </c>
      <c r="E8" s="4">
        <v>0.54656646799999997</v>
      </c>
      <c r="F8" s="4">
        <v>0.645275559</v>
      </c>
      <c r="G8" s="4">
        <v>1</v>
      </c>
      <c r="H8" s="4">
        <v>0.67096561300000002</v>
      </c>
    </row>
    <row r="9" spans="1:8" x14ac:dyDescent="0.2">
      <c r="A9" s="8" t="s">
        <v>1</v>
      </c>
      <c r="B9" s="4">
        <v>0.68493674400000004</v>
      </c>
      <c r="C9" s="4">
        <v>0.84187201899999997</v>
      </c>
      <c r="D9" s="4">
        <v>0.67207541900000001</v>
      </c>
      <c r="E9" s="4">
        <v>0.80561452899999997</v>
      </c>
      <c r="F9" s="4">
        <v>0.74209372900000004</v>
      </c>
      <c r="G9" s="4">
        <v>0.67096561300000002</v>
      </c>
      <c r="H9" s="4">
        <v>1</v>
      </c>
    </row>
    <row r="10" spans="1:8" x14ac:dyDescent="0.2">
      <c r="A10" s="8" t="s">
        <v>4</v>
      </c>
      <c r="B10" s="4">
        <v>0.55307086599999999</v>
      </c>
      <c r="C10" s="4">
        <v>0.70256608399999998</v>
      </c>
      <c r="D10" s="4">
        <v>0.53831151499999996</v>
      </c>
      <c r="E10" s="4">
        <v>1</v>
      </c>
      <c r="F10" s="4">
        <v>0.69592891099999998</v>
      </c>
      <c r="G10" s="4">
        <v>0.54656646799999997</v>
      </c>
      <c r="H10" s="4">
        <v>0.80561452899999997</v>
      </c>
    </row>
    <row r="11" spans="1:8" x14ac:dyDescent="0.2">
      <c r="A11" s="8" t="s">
        <v>3</v>
      </c>
      <c r="B11" s="4">
        <v>0.64081364299999999</v>
      </c>
      <c r="C11" s="4">
        <v>0.74131938500000005</v>
      </c>
      <c r="D11" s="4">
        <v>0.61616607000000001</v>
      </c>
      <c r="E11" s="4">
        <v>0.69592891099999998</v>
      </c>
      <c r="F11" s="25"/>
      <c r="G11" s="4">
        <v>0.645275559</v>
      </c>
      <c r="H11" s="4">
        <v>0.74209372900000004</v>
      </c>
    </row>
  </sheetData>
  <conditionalFormatting pivot="1" sqref="B5:H11">
    <cfRule type="colorScale" priority="2">
      <colorScale>
        <cfvo type="min"/>
        <cfvo type="percentile" val="50"/>
        <cfvo type="max"/>
        <color rgb="FFF8696B"/>
        <color rgb="FFFFEB84"/>
        <color rgb="FF63BE7B"/>
      </colorScale>
    </cfRule>
  </conditionalFormatting>
  <conditionalFormatting pivot="1" sqref="B5:H11">
    <cfRule type="colorScale" priority="1">
      <colorScale>
        <cfvo type="num" val="-1"/>
        <cfvo type="num" val="0"/>
        <cfvo type="num" val="1"/>
        <color rgb="FF00B0F0"/>
        <color theme="0"/>
        <color rgb="FF00B050"/>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95B6F-5EC5-664C-987B-D9BBADF7E446}">
  <sheetPr codeName="Sheet12"/>
  <dimension ref="A1:E172"/>
  <sheetViews>
    <sheetView zoomScale="125" workbookViewId="0">
      <selection activeCell="D5" sqref="D5"/>
    </sheetView>
  </sheetViews>
  <sheetFormatPr baseColWidth="10" defaultRowHeight="15" x14ac:dyDescent="0.2"/>
  <sheetData>
    <row r="1" spans="1:5" x14ac:dyDescent="0.2">
      <c r="A1" s="5" t="s">
        <v>22</v>
      </c>
      <c r="B1" s="6" t="s">
        <v>21</v>
      </c>
      <c r="C1" s="11" t="s">
        <v>20</v>
      </c>
      <c r="D1" s="18" t="s">
        <v>26</v>
      </c>
      <c r="E1" s="18" t="s">
        <v>27</v>
      </c>
    </row>
    <row r="2" spans="1:5" ht="16" x14ac:dyDescent="0.25">
      <c r="A2" s="15" t="s">
        <v>7</v>
      </c>
      <c r="B2" s="16" t="s">
        <v>5</v>
      </c>
      <c r="C2" s="17">
        <v>0.995818341</v>
      </c>
      <c r="D2" s="19" t="str">
        <f>A2&amp;" - "&amp;B2</f>
        <v>Consumer_Price_Index_for_All_Urban_Consumers_Food_in_US_City_Average - Consumer_Price_Index_for_All_Urban_Consumers_All_Items_in_US_City_Average</v>
      </c>
      <c r="E2">
        <f>1</f>
        <v>1</v>
      </c>
    </row>
    <row r="3" spans="1:5" ht="16" x14ac:dyDescent="0.25">
      <c r="A3" s="15" t="s">
        <v>9</v>
      </c>
      <c r="B3" s="16" t="s">
        <v>5</v>
      </c>
      <c r="C3" s="17">
        <v>0.99368732000000004</v>
      </c>
      <c r="D3" s="19" t="str">
        <f>A3&amp;" - "&amp;B3</f>
        <v>Personal_Consumption_Expenditures - Consumer_Price_Index_for_All_Urban_Consumers_All_Items_in_US_City_Average</v>
      </c>
      <c r="E3">
        <f>E2+1</f>
        <v>2</v>
      </c>
    </row>
    <row r="4" spans="1:5" ht="16" x14ac:dyDescent="0.25">
      <c r="A4" s="15" t="s">
        <v>15</v>
      </c>
      <c r="B4" s="16" t="s">
        <v>9</v>
      </c>
      <c r="C4" s="17">
        <v>0.99267584099999995</v>
      </c>
      <c r="D4" s="19" t="str">
        <f>A4&amp;" - "&amp;B4</f>
        <v>Retail_Sales_Retail_Trade_and_Food_Services - Personal_Consumption_Expenditures</v>
      </c>
      <c r="E4">
        <f t="shared" ref="E4:E67" si="0">E3+1</f>
        <v>3</v>
      </c>
    </row>
    <row r="5" spans="1:5" ht="16" x14ac:dyDescent="0.25">
      <c r="A5" s="12" t="s">
        <v>9</v>
      </c>
      <c r="B5" s="13" t="s">
        <v>7</v>
      </c>
      <c r="C5" s="14">
        <v>0.98455073000000004</v>
      </c>
      <c r="D5" s="19" t="str">
        <f>A5&amp;" - "&amp;B5</f>
        <v>Personal_Consumption_Expenditures - Consumer_Price_Index_for_All_Urban_Consumers_Food_in_US_City_Average</v>
      </c>
      <c r="E5">
        <f t="shared" si="0"/>
        <v>4</v>
      </c>
    </row>
    <row r="6" spans="1:5" ht="16" x14ac:dyDescent="0.25">
      <c r="A6" s="12" t="s">
        <v>14</v>
      </c>
      <c r="B6" s="13" t="s">
        <v>9</v>
      </c>
      <c r="C6" s="14">
        <v>0.98291508400000005</v>
      </c>
      <c r="D6" s="19" t="str">
        <f>A6&amp;" - "&amp;B6</f>
        <v>Retail_Sales_Restaurants_and_Other_Eating_Places - Personal_Consumption_Expenditures</v>
      </c>
      <c r="E6">
        <f t="shared" si="0"/>
        <v>5</v>
      </c>
    </row>
    <row r="7" spans="1:5" ht="16" x14ac:dyDescent="0.25">
      <c r="A7" s="15" t="s">
        <v>15</v>
      </c>
      <c r="B7" s="16" t="s">
        <v>5</v>
      </c>
      <c r="C7" s="17">
        <v>0.98180859099999995</v>
      </c>
      <c r="D7" s="19" t="str">
        <f>A7&amp;" - "&amp;B7</f>
        <v>Retail_Sales_Retail_Trade_and_Food_Services - Consumer_Price_Index_for_All_Urban_Consumers_All_Items_in_US_City_Average</v>
      </c>
      <c r="E7">
        <f t="shared" si="0"/>
        <v>6</v>
      </c>
    </row>
    <row r="8" spans="1:5" ht="16" x14ac:dyDescent="0.25">
      <c r="A8" s="12" t="s">
        <v>15</v>
      </c>
      <c r="B8" s="13" t="s">
        <v>14</v>
      </c>
      <c r="C8" s="14">
        <v>0.976626039</v>
      </c>
      <c r="D8" s="19" t="str">
        <f>A8&amp;" - "&amp;B8</f>
        <v>Retail_Sales_Retail_Trade_and_Food_Services - Retail_Sales_Restaurants_and_Other_Eating_Places</v>
      </c>
      <c r="E8">
        <f t="shared" si="0"/>
        <v>7</v>
      </c>
    </row>
    <row r="9" spans="1:5" ht="16" x14ac:dyDescent="0.25">
      <c r="A9" s="12" t="s">
        <v>14</v>
      </c>
      <c r="B9" s="13" t="s">
        <v>5</v>
      </c>
      <c r="C9" s="14">
        <v>0.97173762100000005</v>
      </c>
      <c r="D9" s="19" t="str">
        <f>A9&amp;" - "&amp;B9</f>
        <v>Retail_Sales_Restaurants_and_Other_Eating_Places - Consumer_Price_Index_for_All_Urban_Consumers_All_Items_in_US_City_Average</v>
      </c>
      <c r="E9">
        <f t="shared" si="0"/>
        <v>8</v>
      </c>
    </row>
    <row r="10" spans="1:5" ht="16" x14ac:dyDescent="0.25">
      <c r="A10" s="12" t="s">
        <v>15</v>
      </c>
      <c r="B10" s="13" t="s">
        <v>7</v>
      </c>
      <c r="C10" s="14">
        <v>0.96935964399999996</v>
      </c>
      <c r="D10" s="19" t="str">
        <f>A10&amp;" - "&amp;B10</f>
        <v>Retail_Sales_Retail_Trade_and_Food_Services - Consumer_Price_Index_for_All_Urban_Consumers_Food_in_US_City_Average</v>
      </c>
      <c r="E10">
        <f t="shared" si="0"/>
        <v>9</v>
      </c>
    </row>
    <row r="11" spans="1:5" ht="16" x14ac:dyDescent="0.25">
      <c r="A11" s="15" t="s">
        <v>14</v>
      </c>
      <c r="B11" s="16" t="s">
        <v>7</v>
      </c>
      <c r="C11" s="17">
        <v>0.96224240299999997</v>
      </c>
      <c r="D11" s="19" t="str">
        <f>A11&amp;" - "&amp;B11</f>
        <v>Retail_Sales_Restaurants_and_Other_Eating_Places - Consumer_Price_Index_for_All_Urban_Consumers_Food_in_US_City_Average</v>
      </c>
      <c r="E11">
        <f t="shared" si="0"/>
        <v>10</v>
      </c>
    </row>
    <row r="12" spans="1:5" ht="16" x14ac:dyDescent="0.25">
      <c r="A12" s="12" t="s">
        <v>7</v>
      </c>
      <c r="B12" s="13" t="s">
        <v>2</v>
      </c>
      <c r="C12" s="14">
        <v>0.96152926800000005</v>
      </c>
      <c r="D12" s="19" t="str">
        <f>A12&amp;" - "&amp;B12</f>
        <v>Consumer_Price_Index_for_All_Urban_Consumers_Food_in_US_City_Average - Average_Price_Chicken_Fresh_Whole_Cost_per_Pound4536_Grams_in_US_City_Average</v>
      </c>
      <c r="E12">
        <f t="shared" si="0"/>
        <v>11</v>
      </c>
    </row>
    <row r="13" spans="1:5" ht="16" x14ac:dyDescent="0.25">
      <c r="A13" s="12" t="s">
        <v>5</v>
      </c>
      <c r="B13" s="13" t="s">
        <v>2</v>
      </c>
      <c r="C13" s="14">
        <v>0.94561400900000003</v>
      </c>
      <c r="D13" s="19" t="str">
        <f>A13&amp;" - "&amp;B13</f>
        <v>Consumer_Price_Index_for_All_Urban_Consumers_All_Items_in_US_City_Average - Average_Price_Chicken_Fresh_Whole_Cost_per_Pound4536_Grams_in_US_City_Average</v>
      </c>
      <c r="E13">
        <f t="shared" si="0"/>
        <v>12</v>
      </c>
    </row>
    <row r="14" spans="1:5" ht="16" x14ac:dyDescent="0.25">
      <c r="A14" s="12" t="s">
        <v>19</v>
      </c>
      <c r="B14" s="13" t="s">
        <v>18</v>
      </c>
      <c r="C14" s="14">
        <v>0.93547929100000005</v>
      </c>
      <c r="D14" s="19" t="str">
        <f>A14&amp;" - "&amp;B14</f>
        <v>US_Regular_All_Formulations_Gas_Price - US_Diesel_Sales_Price</v>
      </c>
      <c r="E14">
        <f t="shared" si="0"/>
        <v>13</v>
      </c>
    </row>
    <row r="15" spans="1:5" ht="16" x14ac:dyDescent="0.25">
      <c r="A15" s="15" t="s">
        <v>13</v>
      </c>
      <c r="B15" s="16" t="s">
        <v>9</v>
      </c>
      <c r="C15" s="17">
        <v>0.93295322199999997</v>
      </c>
      <c r="D15" s="19" t="str">
        <f>A15&amp;" - "&amp;B15</f>
        <v>Real_Disposable_Personal_Income - Personal_Consumption_Expenditures</v>
      </c>
      <c r="E15">
        <f t="shared" si="0"/>
        <v>14</v>
      </c>
    </row>
    <row r="16" spans="1:5" ht="16" x14ac:dyDescent="0.25">
      <c r="A16" s="12" t="s">
        <v>6</v>
      </c>
      <c r="B16" s="13" t="s">
        <v>5</v>
      </c>
      <c r="C16" s="14">
        <v>0.93066506400000004</v>
      </c>
      <c r="D16" s="19" t="str">
        <f>A16&amp;" - "&amp;B16</f>
        <v>Consumer_Price_Index_for_All_Urban_Consumers_Energy_Services_in_US_City_Average - Consumer_Price_Index_for_All_Urban_Consumers_All_Items_in_US_City_Average</v>
      </c>
      <c r="E16">
        <f t="shared" si="0"/>
        <v>15</v>
      </c>
    </row>
    <row r="17" spans="1:5" ht="16" x14ac:dyDescent="0.25">
      <c r="A17" s="12" t="s">
        <v>7</v>
      </c>
      <c r="B17" s="13" t="s">
        <v>6</v>
      </c>
      <c r="C17" s="14">
        <v>0.93047618200000004</v>
      </c>
      <c r="D17" s="19" t="str">
        <f>A17&amp;" - "&amp;B17</f>
        <v>Consumer_Price_Index_for_All_Urban_Consumers_Food_in_US_City_Average - Consumer_Price_Index_for_All_Urban_Consumers_Energy_Services_in_US_City_Average</v>
      </c>
      <c r="E17">
        <f t="shared" si="0"/>
        <v>16</v>
      </c>
    </row>
    <row r="18" spans="1:5" ht="16" x14ac:dyDescent="0.25">
      <c r="A18" s="15" t="s">
        <v>15</v>
      </c>
      <c r="B18" s="16" t="s">
        <v>13</v>
      </c>
      <c r="C18" s="17">
        <v>0.92689101799999996</v>
      </c>
      <c r="D18" s="19" t="str">
        <f>A18&amp;" - "&amp;B18</f>
        <v>Retail_Sales_Retail_Trade_and_Food_Services - Real_Disposable_Personal_Income</v>
      </c>
      <c r="E18">
        <f t="shared" si="0"/>
        <v>17</v>
      </c>
    </row>
    <row r="19" spans="1:5" ht="16" x14ac:dyDescent="0.25">
      <c r="A19" s="15" t="s">
        <v>13</v>
      </c>
      <c r="B19" s="16" t="s">
        <v>5</v>
      </c>
      <c r="C19" s="17">
        <v>0.92424630200000002</v>
      </c>
      <c r="D19" s="19" t="str">
        <f>A19&amp;" - "&amp;B19</f>
        <v>Real_Disposable_Personal_Income - Consumer_Price_Index_for_All_Urban_Consumers_All_Items_in_US_City_Average</v>
      </c>
      <c r="E19">
        <f t="shared" si="0"/>
        <v>18</v>
      </c>
    </row>
    <row r="20" spans="1:5" ht="16" x14ac:dyDescent="0.25">
      <c r="A20" s="12" t="s">
        <v>9</v>
      </c>
      <c r="B20" s="13" t="s">
        <v>6</v>
      </c>
      <c r="C20" s="14">
        <v>0.91989927199999999</v>
      </c>
      <c r="D20" s="19" t="str">
        <f>A20&amp;" - "&amp;B20</f>
        <v>Personal_Consumption_Expenditures - Consumer_Price_Index_for_All_Urban_Consumers_Energy_Services_in_US_City_Average</v>
      </c>
      <c r="E20">
        <f t="shared" si="0"/>
        <v>19</v>
      </c>
    </row>
    <row r="21" spans="1:5" ht="16" x14ac:dyDescent="0.25">
      <c r="A21" s="12" t="s">
        <v>9</v>
      </c>
      <c r="B21" s="13" t="s">
        <v>2</v>
      </c>
      <c r="C21" s="14">
        <v>0.91827181700000005</v>
      </c>
      <c r="D21" s="19" t="str">
        <f>A21&amp;" - "&amp;B21</f>
        <v>Personal_Consumption_Expenditures - Average_Price_Chicken_Fresh_Whole_Cost_per_Pound4536_Grams_in_US_City_Average</v>
      </c>
      <c r="E21">
        <f t="shared" si="0"/>
        <v>20</v>
      </c>
    </row>
    <row r="22" spans="1:5" ht="16" x14ac:dyDescent="0.25">
      <c r="A22" s="12" t="s">
        <v>13</v>
      </c>
      <c r="B22" s="13" t="s">
        <v>7</v>
      </c>
      <c r="C22" s="14">
        <v>0.91542589399999996</v>
      </c>
      <c r="D22" s="19" t="str">
        <f>A22&amp;" - "&amp;B22</f>
        <v>Real_Disposable_Personal_Income - Consumer_Price_Index_for_All_Urban_Consumers_Food_in_US_City_Average</v>
      </c>
      <c r="E22">
        <f t="shared" si="0"/>
        <v>21</v>
      </c>
    </row>
    <row r="23" spans="1:5" ht="16" x14ac:dyDescent="0.25">
      <c r="A23" s="15" t="s">
        <v>14</v>
      </c>
      <c r="B23" s="16" t="s">
        <v>6</v>
      </c>
      <c r="C23" s="17">
        <v>0.91400032499999995</v>
      </c>
      <c r="D23" s="19" t="str">
        <f>A23&amp;" - "&amp;B23</f>
        <v>Retail_Sales_Restaurants_and_Other_Eating_Places - Consumer_Price_Index_for_All_Urban_Consumers_Energy_Services_in_US_City_Average</v>
      </c>
      <c r="E23">
        <f t="shared" si="0"/>
        <v>22</v>
      </c>
    </row>
    <row r="24" spans="1:5" ht="16" x14ac:dyDescent="0.25">
      <c r="A24" s="12" t="s">
        <v>15</v>
      </c>
      <c r="B24" s="13" t="s">
        <v>6</v>
      </c>
      <c r="C24" s="14">
        <v>0.91232318199999995</v>
      </c>
      <c r="D24" s="19" t="str">
        <f>A24&amp;" - "&amp;B24</f>
        <v>Retail_Sales_Retail_Trade_and_Food_Services - Consumer_Price_Index_for_All_Urban_Consumers_Energy_Services_in_US_City_Average</v>
      </c>
      <c r="E24">
        <f t="shared" si="0"/>
        <v>23</v>
      </c>
    </row>
    <row r="25" spans="1:5" ht="16" x14ac:dyDescent="0.25">
      <c r="A25" s="15" t="s">
        <v>12</v>
      </c>
      <c r="B25" s="16" t="s">
        <v>11</v>
      </c>
      <c r="C25" s="17">
        <v>0.90026441499999998</v>
      </c>
      <c r="D25" s="19" t="str">
        <f>A25&amp;" - "&amp;B25</f>
        <v>Producer_Price_Index_by_Commodity_Processed_Foods_and_Feeds_Chicken_and_Turkey_Feed_Supplements__________Concentrates_and_Premixes - Producer_Price_Index_by_Commodity_Farm_Products_Soybeans</v>
      </c>
      <c r="E25">
        <f t="shared" si="0"/>
        <v>24</v>
      </c>
    </row>
    <row r="26" spans="1:5" ht="16" x14ac:dyDescent="0.25">
      <c r="A26" s="15" t="s">
        <v>14</v>
      </c>
      <c r="B26" s="16" t="s">
        <v>2</v>
      </c>
      <c r="C26" s="17">
        <v>0.89799747399999996</v>
      </c>
      <c r="D26" s="19" t="str">
        <f>A26&amp;" - "&amp;B26</f>
        <v>Retail_Sales_Restaurants_and_Other_Eating_Places - Average_Price_Chicken_Fresh_Whole_Cost_per_Pound4536_Grams_in_US_City_Average</v>
      </c>
      <c r="E26">
        <f t="shared" si="0"/>
        <v>25</v>
      </c>
    </row>
    <row r="27" spans="1:5" ht="16" x14ac:dyDescent="0.25">
      <c r="A27" s="12" t="s">
        <v>15</v>
      </c>
      <c r="B27" s="13" t="s">
        <v>2</v>
      </c>
      <c r="C27" s="14">
        <v>0.89571852900000004</v>
      </c>
      <c r="D27" s="19" t="str">
        <f>A27&amp;" - "&amp;B27</f>
        <v>Retail_Sales_Retail_Trade_and_Food_Services - Average_Price_Chicken_Fresh_Whole_Cost_per_Pound4536_Grams_in_US_City_Average</v>
      </c>
      <c r="E27">
        <f t="shared" si="0"/>
        <v>26</v>
      </c>
    </row>
    <row r="28" spans="1:5" ht="16" x14ac:dyDescent="0.25">
      <c r="A28" s="12" t="s">
        <v>14</v>
      </c>
      <c r="B28" s="13" t="s">
        <v>13</v>
      </c>
      <c r="C28" s="14">
        <v>0.89019970199999998</v>
      </c>
      <c r="D28" s="19" t="str">
        <f>A28&amp;" - "&amp;B28</f>
        <v>Retail_Sales_Restaurants_and_Other_Eating_Places - Real_Disposable_Personal_Income</v>
      </c>
      <c r="E28">
        <f t="shared" si="0"/>
        <v>27</v>
      </c>
    </row>
    <row r="29" spans="1:5" ht="16" x14ac:dyDescent="0.25">
      <c r="A29" s="15" t="s">
        <v>6</v>
      </c>
      <c r="B29" s="16" t="s">
        <v>2</v>
      </c>
      <c r="C29" s="17">
        <v>0.87802830899999995</v>
      </c>
      <c r="D29" s="19" t="str">
        <f>A29&amp;" - "&amp;B29</f>
        <v>Consumer_Price_Index_for_All_Urban_Consumers_Energy_Services_in_US_City_Average - Average_Price_Chicken_Fresh_Whole_Cost_per_Pound4536_Grams_in_US_City_Average</v>
      </c>
      <c r="E29">
        <f t="shared" si="0"/>
        <v>28</v>
      </c>
    </row>
    <row r="30" spans="1:5" ht="16" x14ac:dyDescent="0.25">
      <c r="A30" s="12" t="s">
        <v>11</v>
      </c>
      <c r="B30" s="13" t="s">
        <v>10</v>
      </c>
      <c r="C30" s="14">
        <v>0.87523736200000002</v>
      </c>
      <c r="D30" s="19" t="str">
        <f>A30&amp;" - "&amp;B30</f>
        <v>Producer_Price_Index_by_Commodity_Farm_Products_Soybeans - Producer_Price_Index_by_Commodity_Farm_Products_Corn</v>
      </c>
      <c r="E30">
        <f t="shared" si="0"/>
        <v>29</v>
      </c>
    </row>
    <row r="31" spans="1:5" ht="16" x14ac:dyDescent="0.25">
      <c r="A31" s="15" t="s">
        <v>12</v>
      </c>
      <c r="B31" s="16" t="s">
        <v>10</v>
      </c>
      <c r="C31" s="17">
        <v>0.87079795599999998</v>
      </c>
      <c r="D31" s="19" t="str">
        <f>A31&amp;" - "&amp;B31</f>
        <v>Producer_Price_Index_by_Commodity_Processed_Foods_and_Feeds_Chicken_and_Turkey_Feed_Supplements__________Concentrates_and_Premixes - Producer_Price_Index_by_Commodity_Farm_Products_Corn</v>
      </c>
      <c r="E31">
        <f t="shared" si="0"/>
        <v>30</v>
      </c>
    </row>
    <row r="32" spans="1:5" ht="16" x14ac:dyDescent="0.25">
      <c r="A32" s="12" t="s">
        <v>13</v>
      </c>
      <c r="B32" s="13" t="s">
        <v>2</v>
      </c>
      <c r="C32" s="14">
        <v>0.84652382000000004</v>
      </c>
      <c r="D32" s="19" t="str">
        <f>A32&amp;" - "&amp;B32</f>
        <v>Real_Disposable_Personal_Income - Average_Price_Chicken_Fresh_Whole_Cost_per_Pound4536_Grams_in_US_City_Average</v>
      </c>
      <c r="E32">
        <f t="shared" si="0"/>
        <v>31</v>
      </c>
    </row>
    <row r="33" spans="1:5" ht="16" x14ac:dyDescent="0.25">
      <c r="A33" s="15" t="s">
        <v>6</v>
      </c>
      <c r="B33" s="16" t="s">
        <v>1</v>
      </c>
      <c r="C33" s="17">
        <v>0.84187201899999997</v>
      </c>
      <c r="D33" s="19" t="str">
        <f>A33&amp;" - "&amp;B33</f>
        <v>Consumer_Price_Index_for_All_Urban_Consumers_Energy_Services_in_US_City_Average - Average_Price_Chicken_Breast_Boneless_Cost_per_Pound4536_Grams_in_US_City_Average</v>
      </c>
      <c r="E33">
        <f t="shared" si="0"/>
        <v>32</v>
      </c>
    </row>
    <row r="34" spans="1:5" ht="16" x14ac:dyDescent="0.25">
      <c r="A34" s="15" t="s">
        <v>4</v>
      </c>
      <c r="B34" s="16" t="s">
        <v>1</v>
      </c>
      <c r="C34" s="17">
        <v>0.80561452899999997</v>
      </c>
      <c r="D34" s="19" t="str">
        <f>A34&amp;" - "&amp;B34</f>
        <v>Average_Price_Milk_Fresh_Whole_Fortified_Cost_per_Gallon38_Liters_in_US_City_Average - Average_Price_Chicken_Breast_Boneless_Cost_per_Pound4536_Grams_in_US_City_Average</v>
      </c>
      <c r="E34">
        <f t="shared" si="0"/>
        <v>33</v>
      </c>
    </row>
    <row r="35" spans="1:5" ht="16" x14ac:dyDescent="0.25">
      <c r="A35" s="12" t="s">
        <v>18</v>
      </c>
      <c r="B35" s="13" t="s">
        <v>12</v>
      </c>
      <c r="C35" s="14">
        <v>0.78229312500000003</v>
      </c>
      <c r="D35" s="19" t="str">
        <f>A35&amp;" - "&amp;B35</f>
        <v>US_Diesel_Sales_Price - Producer_Price_Index_by_Commodity_Processed_Foods_and_Feeds_Chicken_and_Turkey_Feed_Supplements__________Concentrates_and_Premixes</v>
      </c>
      <c r="E35">
        <f t="shared" si="0"/>
        <v>34</v>
      </c>
    </row>
    <row r="36" spans="1:5" ht="16" x14ac:dyDescent="0.25">
      <c r="A36" s="12" t="s">
        <v>13</v>
      </c>
      <c r="B36" s="13" t="s">
        <v>6</v>
      </c>
      <c r="C36" s="14">
        <v>0.77321032300000003</v>
      </c>
      <c r="D36" s="19" t="str">
        <f>A36&amp;" - "&amp;B36</f>
        <v>Real_Disposable_Personal_Income - Consumer_Price_Index_for_All_Urban_Consumers_Energy_Services_in_US_City_Average</v>
      </c>
      <c r="E36">
        <f t="shared" si="0"/>
        <v>35</v>
      </c>
    </row>
    <row r="37" spans="1:5" ht="16" x14ac:dyDescent="0.25">
      <c r="A37" s="15" t="s">
        <v>18</v>
      </c>
      <c r="B37" s="16" t="s">
        <v>10</v>
      </c>
      <c r="C37" s="17">
        <v>0.75872503899999999</v>
      </c>
      <c r="D37" s="19" t="str">
        <f>A37&amp;" - "&amp;B37</f>
        <v>US_Diesel_Sales_Price - Producer_Price_Index_by_Commodity_Farm_Products_Corn</v>
      </c>
      <c r="E37">
        <f t="shared" si="0"/>
        <v>36</v>
      </c>
    </row>
    <row r="38" spans="1:5" ht="16" x14ac:dyDescent="0.25">
      <c r="A38" s="12" t="s">
        <v>1</v>
      </c>
      <c r="B38" s="13" t="s">
        <v>3</v>
      </c>
      <c r="C38" s="14">
        <v>0.74209372900000004</v>
      </c>
      <c r="D38" s="19" t="str">
        <f>A38&amp;" - "&amp;B38</f>
        <v>Average_Price_Chicken_Breast_Boneless_Cost_per_Pound4536_Grams_in_US_City_Average - Average_Price_Eggs_Grade_A_Large_Cost_per_Dozen_in_US_City_Average</v>
      </c>
      <c r="E38">
        <f t="shared" si="0"/>
        <v>37</v>
      </c>
    </row>
    <row r="39" spans="1:5" ht="16" x14ac:dyDescent="0.25">
      <c r="A39" s="12" t="s">
        <v>6</v>
      </c>
      <c r="B39" s="13" t="s">
        <v>3</v>
      </c>
      <c r="C39" s="14">
        <v>0.74131938500000005</v>
      </c>
      <c r="D39" s="19" t="str">
        <f>A39&amp;" - "&amp;B39</f>
        <v>Consumer_Price_Index_for_All_Urban_Consumers_Energy_Services_in_US_City_Average - Average_Price_Eggs_Grade_A_Large_Cost_per_Dozen_in_US_City_Average</v>
      </c>
      <c r="E39">
        <f t="shared" si="0"/>
        <v>38</v>
      </c>
    </row>
    <row r="40" spans="1:5" ht="16" x14ac:dyDescent="0.25">
      <c r="A40" s="15" t="s">
        <v>18</v>
      </c>
      <c r="B40" s="16" t="s">
        <v>11</v>
      </c>
      <c r="C40" s="17">
        <v>0.74058606199999999</v>
      </c>
      <c r="D40" s="19" t="str">
        <f>A40&amp;" - "&amp;B40</f>
        <v>US_Diesel_Sales_Price - Producer_Price_Index_by_Commodity_Farm_Products_Soybeans</v>
      </c>
      <c r="E40">
        <f t="shared" si="0"/>
        <v>39</v>
      </c>
    </row>
    <row r="41" spans="1:5" ht="16" x14ac:dyDescent="0.25">
      <c r="A41" s="12" t="s">
        <v>19</v>
      </c>
      <c r="B41" s="13" t="s">
        <v>10</v>
      </c>
      <c r="C41" s="14">
        <v>0.74002958900000004</v>
      </c>
      <c r="D41" s="19" t="str">
        <f>A41&amp;" - "&amp;B41</f>
        <v>US_Regular_All_Formulations_Gas_Price - Producer_Price_Index_by_Commodity_Farm_Products_Corn</v>
      </c>
      <c r="E41">
        <f t="shared" si="0"/>
        <v>40</v>
      </c>
    </row>
    <row r="42" spans="1:5" ht="16" x14ac:dyDescent="0.25">
      <c r="A42" s="12" t="s">
        <v>19</v>
      </c>
      <c r="B42" s="13" t="s">
        <v>11</v>
      </c>
      <c r="C42" s="14">
        <v>0.73080751200000005</v>
      </c>
      <c r="D42" s="19" t="str">
        <f>A42&amp;" - "&amp;B42</f>
        <v>US_Regular_All_Formulations_Gas_Price - Producer_Price_Index_by_Commodity_Farm_Products_Soybeans</v>
      </c>
      <c r="E42">
        <f t="shared" si="0"/>
        <v>41</v>
      </c>
    </row>
    <row r="43" spans="1:5" ht="16" x14ac:dyDescent="0.25">
      <c r="A43" s="12" t="s">
        <v>18</v>
      </c>
      <c r="B43" s="13" t="s">
        <v>4</v>
      </c>
      <c r="C43" s="14">
        <v>0.71655983300000003</v>
      </c>
      <c r="D43" s="19" t="str">
        <f>A43&amp;" - "&amp;B43</f>
        <v>US_Diesel_Sales_Price - Average_Price_Milk_Fresh_Whole_Fortified_Cost_per_Gallon38_Liters_in_US_City_Average</v>
      </c>
      <c r="E43">
        <f t="shared" si="0"/>
        <v>42</v>
      </c>
    </row>
    <row r="44" spans="1:5" ht="16" x14ac:dyDescent="0.25">
      <c r="A44" s="15" t="s">
        <v>19</v>
      </c>
      <c r="B44" s="16" t="s">
        <v>12</v>
      </c>
      <c r="C44" s="17">
        <v>0.71120256199999998</v>
      </c>
      <c r="D44" s="19" t="str">
        <f>A44&amp;" - "&amp;B44</f>
        <v>US_Regular_All_Formulations_Gas_Price - Producer_Price_Index_by_Commodity_Processed_Foods_and_Feeds_Chicken_and_Turkey_Feed_Supplements__________Concentrates_and_Premixes</v>
      </c>
      <c r="E44">
        <f t="shared" si="0"/>
        <v>43</v>
      </c>
    </row>
    <row r="45" spans="1:5" ht="16" x14ac:dyDescent="0.25">
      <c r="A45" s="12" t="s">
        <v>6</v>
      </c>
      <c r="B45" s="13" t="s">
        <v>4</v>
      </c>
      <c r="C45" s="14">
        <v>0.70256608399999998</v>
      </c>
      <c r="D45" s="19" t="str">
        <f>A45&amp;" - "&amp;B45</f>
        <v>Consumer_Price_Index_for_All_Urban_Consumers_Energy_Services_in_US_City_Average - Average_Price_Milk_Fresh_Whole_Fortified_Cost_per_Gallon38_Liters_in_US_City_Average</v>
      </c>
      <c r="E45">
        <f t="shared" si="0"/>
        <v>44</v>
      </c>
    </row>
    <row r="46" spans="1:5" ht="16" x14ac:dyDescent="0.25">
      <c r="A46" s="12" t="s">
        <v>4</v>
      </c>
      <c r="B46" s="13" t="s">
        <v>3</v>
      </c>
      <c r="C46" s="14">
        <v>0.69592891099999998</v>
      </c>
      <c r="D46" s="19" t="str">
        <f>A46&amp;" - "&amp;B46</f>
        <v>Average_Price_Milk_Fresh_Whole_Fortified_Cost_per_Gallon38_Liters_in_US_City_Average - Average_Price_Eggs_Grade_A_Large_Cost_per_Dozen_in_US_City_Average</v>
      </c>
      <c r="E46">
        <f t="shared" si="0"/>
        <v>45</v>
      </c>
    </row>
    <row r="47" spans="1:5" ht="16" x14ac:dyDescent="0.25">
      <c r="A47" s="12" t="s">
        <v>7</v>
      </c>
      <c r="B47" s="13" t="s">
        <v>1</v>
      </c>
      <c r="C47" s="14">
        <v>0.68493674400000004</v>
      </c>
      <c r="D47" s="19" t="str">
        <f>A47&amp;" - "&amp;B47</f>
        <v>Consumer_Price_Index_for_All_Urban_Consumers_Food_in_US_City_Average - Average_Price_Chicken_Breast_Boneless_Cost_per_Pound4536_Grams_in_US_City_Average</v>
      </c>
      <c r="E47">
        <f t="shared" si="0"/>
        <v>46</v>
      </c>
    </row>
    <row r="48" spans="1:5" ht="16" x14ac:dyDescent="0.25">
      <c r="A48" s="12" t="s">
        <v>15</v>
      </c>
      <c r="B48" s="13" t="s">
        <v>1</v>
      </c>
      <c r="C48" s="14">
        <v>0.67684243099999997</v>
      </c>
      <c r="D48" s="19" t="str">
        <f>A48&amp;" - "&amp;B48</f>
        <v>Retail_Sales_Retail_Trade_and_Food_Services - Average_Price_Chicken_Breast_Boneless_Cost_per_Pound4536_Grams_in_US_City_Average</v>
      </c>
      <c r="E48">
        <f t="shared" si="0"/>
        <v>47</v>
      </c>
    </row>
    <row r="49" spans="1:5" ht="16" x14ac:dyDescent="0.25">
      <c r="A49" s="12" t="s">
        <v>5</v>
      </c>
      <c r="B49" s="13" t="s">
        <v>1</v>
      </c>
      <c r="C49" s="14">
        <v>0.67207541900000001</v>
      </c>
      <c r="D49" s="19" t="str">
        <f>A49&amp;" - "&amp;B49</f>
        <v>Consumer_Price_Index_for_All_Urban_Consumers_All_Items_in_US_City_Average - Average_Price_Chicken_Breast_Boneless_Cost_per_Pound4536_Grams_in_US_City_Average</v>
      </c>
      <c r="E49">
        <f t="shared" si="0"/>
        <v>48</v>
      </c>
    </row>
    <row r="50" spans="1:5" ht="16" x14ac:dyDescent="0.25">
      <c r="A50" s="12" t="s">
        <v>2</v>
      </c>
      <c r="B50" s="13" t="s">
        <v>1</v>
      </c>
      <c r="C50" s="14">
        <v>0.67096561300000002</v>
      </c>
      <c r="D50" s="19" t="str">
        <f>A50&amp;" - "&amp;B50</f>
        <v>Average_Price_Chicken_Fresh_Whole_Cost_per_Pound4536_Grams_in_US_City_Average - Average_Price_Chicken_Breast_Boneless_Cost_per_Pound4536_Grams_in_US_City_Average</v>
      </c>
      <c r="E50">
        <f t="shared" si="0"/>
        <v>49</v>
      </c>
    </row>
    <row r="51" spans="1:5" ht="16" x14ac:dyDescent="0.25">
      <c r="A51" s="15" t="s">
        <v>14</v>
      </c>
      <c r="B51" s="16" t="s">
        <v>1</v>
      </c>
      <c r="C51" s="17">
        <v>0.66664087800000005</v>
      </c>
      <c r="D51" s="19" t="str">
        <f>A51&amp;" - "&amp;B51</f>
        <v>Retail_Sales_Restaurants_and_Other_Eating_Places - Average_Price_Chicken_Breast_Boneless_Cost_per_Pound4536_Grams_in_US_City_Average</v>
      </c>
      <c r="E51">
        <f t="shared" si="0"/>
        <v>50</v>
      </c>
    </row>
    <row r="52" spans="1:5" ht="16" x14ac:dyDescent="0.25">
      <c r="A52" s="12" t="s">
        <v>9</v>
      </c>
      <c r="B52" s="13" t="s">
        <v>1</v>
      </c>
      <c r="C52" s="14">
        <v>0.65211393100000004</v>
      </c>
      <c r="D52" s="19" t="str">
        <f>A52&amp;" - "&amp;B52</f>
        <v>Personal_Consumption_Expenditures - Average_Price_Chicken_Breast_Boneless_Cost_per_Pound4536_Grams_in_US_City_Average</v>
      </c>
      <c r="E52">
        <f t="shared" si="0"/>
        <v>51</v>
      </c>
    </row>
    <row r="53" spans="1:5" ht="16" x14ac:dyDescent="0.25">
      <c r="A53" s="12" t="s">
        <v>12</v>
      </c>
      <c r="B53" s="13" t="s">
        <v>4</v>
      </c>
      <c r="C53" s="14">
        <v>0.65198428200000003</v>
      </c>
      <c r="D53" s="19" t="str">
        <f>A53&amp;" - "&amp;B53</f>
        <v>Producer_Price_Index_by_Commodity_Processed_Foods_and_Feeds_Chicken_and_Turkey_Feed_Supplements__________Concentrates_and_Premixes - Average_Price_Milk_Fresh_Whole_Fortified_Cost_per_Gallon38_Liters_in_US_City_Average</v>
      </c>
      <c r="E53">
        <f t="shared" si="0"/>
        <v>52</v>
      </c>
    </row>
    <row r="54" spans="1:5" ht="16" x14ac:dyDescent="0.25">
      <c r="A54" s="15" t="s">
        <v>12</v>
      </c>
      <c r="B54" s="16" t="s">
        <v>2</v>
      </c>
      <c r="C54" s="17">
        <v>0.65006964</v>
      </c>
      <c r="D54" s="19" t="str">
        <f>A54&amp;" - "&amp;B54</f>
        <v>Producer_Price_Index_by_Commodity_Processed_Foods_and_Feeds_Chicken_and_Turkey_Feed_Supplements__________Concentrates_and_Premixes - Average_Price_Chicken_Fresh_Whole_Cost_per_Pound4536_Grams_in_US_City_Average</v>
      </c>
      <c r="E54">
        <f t="shared" si="0"/>
        <v>53</v>
      </c>
    </row>
    <row r="55" spans="1:5" ht="16" x14ac:dyDescent="0.25">
      <c r="A55" s="15" t="s">
        <v>2</v>
      </c>
      <c r="B55" s="16" t="s">
        <v>3</v>
      </c>
      <c r="C55" s="17">
        <v>0.645275559</v>
      </c>
      <c r="D55" s="19" t="str">
        <f>A55&amp;" - "&amp;B55</f>
        <v>Average_Price_Chicken_Fresh_Whole_Cost_per_Pound4536_Grams_in_US_City_Average - Average_Price_Eggs_Grade_A_Large_Cost_per_Dozen_in_US_City_Average</v>
      </c>
      <c r="E55">
        <f t="shared" si="0"/>
        <v>54</v>
      </c>
    </row>
    <row r="56" spans="1:5" ht="16" x14ac:dyDescent="0.25">
      <c r="A56" s="15" t="s">
        <v>7</v>
      </c>
      <c r="B56" s="16" t="s">
        <v>3</v>
      </c>
      <c r="C56" s="17">
        <v>0.64081364299999999</v>
      </c>
      <c r="D56" s="19" t="str">
        <f>A56&amp;" - "&amp;B56</f>
        <v>Consumer_Price_Index_for_All_Urban_Consumers_Food_in_US_City_Average - Average_Price_Eggs_Grade_A_Large_Cost_per_Dozen_in_US_City_Average</v>
      </c>
      <c r="E56">
        <f t="shared" si="0"/>
        <v>55</v>
      </c>
    </row>
    <row r="57" spans="1:5" ht="16" x14ac:dyDescent="0.25">
      <c r="A57" s="15" t="s">
        <v>19</v>
      </c>
      <c r="B57" s="16" t="s">
        <v>4</v>
      </c>
      <c r="C57" s="17">
        <v>0.63418148500000004</v>
      </c>
      <c r="D57" s="19" t="str">
        <f>A57&amp;" - "&amp;B57</f>
        <v>US_Regular_All_Formulations_Gas_Price - Average_Price_Milk_Fresh_Whole_Fortified_Cost_per_Gallon38_Liters_in_US_City_Average</v>
      </c>
      <c r="E57">
        <f t="shared" si="0"/>
        <v>56</v>
      </c>
    </row>
    <row r="58" spans="1:5" ht="16" x14ac:dyDescent="0.25">
      <c r="A58" s="15" t="s">
        <v>18</v>
      </c>
      <c r="B58" s="16" t="s">
        <v>1</v>
      </c>
      <c r="C58" s="17">
        <v>0.62073815200000004</v>
      </c>
      <c r="D58" s="19" t="str">
        <f>A58&amp;" - "&amp;B58</f>
        <v>US_Diesel_Sales_Price - Average_Price_Chicken_Breast_Boneless_Cost_per_Pound4536_Grams_in_US_City_Average</v>
      </c>
      <c r="E58">
        <f t="shared" si="0"/>
        <v>57</v>
      </c>
    </row>
    <row r="59" spans="1:5" ht="16" x14ac:dyDescent="0.25">
      <c r="A59" s="15" t="s">
        <v>12</v>
      </c>
      <c r="B59" s="16" t="s">
        <v>7</v>
      </c>
      <c r="C59" s="17">
        <v>0.61835128299999997</v>
      </c>
      <c r="D59" s="19" t="str">
        <f>A59&amp;" - "&amp;B59</f>
        <v>Producer_Price_Index_by_Commodity_Processed_Foods_and_Feeds_Chicken_and_Turkey_Feed_Supplements__________Concentrates_and_Premixes - Consumer_Price_Index_for_All_Urban_Consumers_Food_in_US_City_Average</v>
      </c>
      <c r="E59">
        <f t="shared" si="0"/>
        <v>58</v>
      </c>
    </row>
    <row r="60" spans="1:5" ht="16" x14ac:dyDescent="0.25">
      <c r="A60" s="15" t="s">
        <v>5</v>
      </c>
      <c r="B60" s="16" t="s">
        <v>3</v>
      </c>
      <c r="C60" s="17">
        <v>0.61616607000000001</v>
      </c>
      <c r="D60" s="19" t="str">
        <f>A60&amp;" - "&amp;B60</f>
        <v>Consumer_Price_Index_for_All_Urban_Consumers_All_Items_in_US_City_Average - Average_Price_Eggs_Grade_A_Large_Cost_per_Dozen_in_US_City_Average</v>
      </c>
      <c r="E60">
        <f t="shared" si="0"/>
        <v>59</v>
      </c>
    </row>
    <row r="61" spans="1:5" ht="16" x14ac:dyDescent="0.25">
      <c r="A61" s="15" t="s">
        <v>11</v>
      </c>
      <c r="B61" s="16" t="s">
        <v>4</v>
      </c>
      <c r="C61" s="17">
        <v>0.60326782599999995</v>
      </c>
      <c r="D61" s="19" t="str">
        <f>A61&amp;" - "&amp;B61</f>
        <v>Producer_Price_Index_by_Commodity_Farm_Products_Soybeans - Average_Price_Milk_Fresh_Whole_Fortified_Cost_per_Gallon38_Liters_in_US_City_Average</v>
      </c>
      <c r="E61">
        <f t="shared" si="0"/>
        <v>60</v>
      </c>
    </row>
    <row r="62" spans="1:5" ht="16" x14ac:dyDescent="0.25">
      <c r="A62" s="12" t="s">
        <v>12</v>
      </c>
      <c r="B62" s="13" t="s">
        <v>5</v>
      </c>
      <c r="C62" s="14">
        <v>0.60070325899999999</v>
      </c>
      <c r="D62" s="19" t="str">
        <f>A62&amp;" - "&amp;B62</f>
        <v>Producer_Price_Index_by_Commodity_Processed_Foods_and_Feeds_Chicken_and_Turkey_Feed_Supplements__________Concentrates_and_Premixes - Consumer_Price_Index_for_All_Urban_Consumers_All_Items_in_US_City_Average</v>
      </c>
      <c r="E62">
        <f t="shared" si="0"/>
        <v>61</v>
      </c>
    </row>
    <row r="63" spans="1:5" ht="16" x14ac:dyDescent="0.25">
      <c r="A63" s="15" t="s">
        <v>12</v>
      </c>
      <c r="B63" s="16" t="s">
        <v>6</v>
      </c>
      <c r="C63" s="17">
        <v>0.59025980600000005</v>
      </c>
      <c r="D63" s="19" t="str">
        <f>A63&amp;" - "&amp;B63</f>
        <v>Producer_Price_Index_by_Commodity_Processed_Foods_and_Feeds_Chicken_and_Turkey_Feed_Supplements__________Concentrates_and_Premixes - Consumer_Price_Index_for_All_Urban_Consumers_Energy_Services_in_US_City_Average</v>
      </c>
      <c r="E63">
        <f t="shared" si="0"/>
        <v>62</v>
      </c>
    </row>
    <row r="64" spans="1:5" ht="16" x14ac:dyDescent="0.25">
      <c r="A64" s="15" t="s">
        <v>9</v>
      </c>
      <c r="B64" s="16" t="s">
        <v>3</v>
      </c>
      <c r="C64" s="17">
        <v>0.58781558499999997</v>
      </c>
      <c r="D64" s="19" t="str">
        <f>A64&amp;" - "&amp;B64</f>
        <v>Personal_Consumption_Expenditures - Average_Price_Eggs_Grade_A_Large_Cost_per_Dozen_in_US_City_Average</v>
      </c>
      <c r="E64">
        <f t="shared" si="0"/>
        <v>63</v>
      </c>
    </row>
    <row r="65" spans="1:5" ht="16" x14ac:dyDescent="0.25">
      <c r="A65" s="12" t="s">
        <v>14</v>
      </c>
      <c r="B65" s="13" t="s">
        <v>3</v>
      </c>
      <c r="C65" s="14">
        <v>0.58374119899999999</v>
      </c>
      <c r="D65" s="19" t="str">
        <f>A65&amp;" - "&amp;B65</f>
        <v>Retail_Sales_Restaurants_and_Other_Eating_Places - Average_Price_Eggs_Grade_A_Large_Cost_per_Dozen_in_US_City_Average</v>
      </c>
      <c r="E65">
        <f t="shared" si="0"/>
        <v>64</v>
      </c>
    </row>
    <row r="66" spans="1:5" ht="16" x14ac:dyDescent="0.25">
      <c r="A66" s="15" t="s">
        <v>15</v>
      </c>
      <c r="B66" s="16" t="s">
        <v>3</v>
      </c>
      <c r="C66" s="17">
        <v>0.57819416899999998</v>
      </c>
      <c r="D66" s="19" t="str">
        <f>A66&amp;" - "&amp;B66</f>
        <v>Retail_Sales_Retail_Trade_and_Food_Services - Average_Price_Eggs_Grade_A_Large_Cost_per_Dozen_in_US_City_Average</v>
      </c>
      <c r="E66">
        <f t="shared" si="0"/>
        <v>65</v>
      </c>
    </row>
    <row r="67" spans="1:5" ht="16" x14ac:dyDescent="0.25">
      <c r="A67" s="12" t="s">
        <v>10</v>
      </c>
      <c r="B67" s="13" t="s">
        <v>4</v>
      </c>
      <c r="C67" s="14">
        <v>0.56839800299999999</v>
      </c>
      <c r="D67" s="19" t="str">
        <f>A67&amp;" - "&amp;B67</f>
        <v>Producer_Price_Index_by_Commodity_Farm_Products_Corn - Average_Price_Milk_Fresh_Whole_Fortified_Cost_per_Gallon38_Liters_in_US_City_Average</v>
      </c>
      <c r="E67">
        <f t="shared" si="0"/>
        <v>66</v>
      </c>
    </row>
    <row r="68" spans="1:5" ht="16" x14ac:dyDescent="0.25">
      <c r="A68" s="15" t="s">
        <v>12</v>
      </c>
      <c r="B68" s="16" t="s">
        <v>1</v>
      </c>
      <c r="C68" s="17">
        <v>0.56672533700000005</v>
      </c>
      <c r="D68" s="19" t="str">
        <f>A68&amp;" - "&amp;B68</f>
        <v>Producer_Price_Index_by_Commodity_Processed_Foods_and_Feeds_Chicken_and_Turkey_Feed_Supplements__________Concentrates_and_Premixes - Average_Price_Chicken_Breast_Boneless_Cost_per_Pound4536_Grams_in_US_City_Average</v>
      </c>
      <c r="E68">
        <f t="shared" ref="E68:E131" si="1">E67+1</f>
        <v>67</v>
      </c>
    </row>
    <row r="69" spans="1:5" ht="16" x14ac:dyDescent="0.25">
      <c r="A69" s="15" t="s">
        <v>18</v>
      </c>
      <c r="B69" s="16" t="s">
        <v>6</v>
      </c>
      <c r="C69" s="17">
        <v>0.55363314299999999</v>
      </c>
      <c r="D69" s="19" t="str">
        <f>A69&amp;" - "&amp;B69</f>
        <v>US_Diesel_Sales_Price - Consumer_Price_Index_for_All_Urban_Consumers_Energy_Services_in_US_City_Average</v>
      </c>
      <c r="E69">
        <f t="shared" si="1"/>
        <v>68</v>
      </c>
    </row>
    <row r="70" spans="1:5" ht="16" x14ac:dyDescent="0.25">
      <c r="A70" s="15" t="s">
        <v>7</v>
      </c>
      <c r="B70" s="16" t="s">
        <v>4</v>
      </c>
      <c r="C70" s="17">
        <v>0.55307086599999999</v>
      </c>
      <c r="D70" s="19" t="str">
        <f>A70&amp;" - "&amp;B70</f>
        <v>Consumer_Price_Index_for_All_Urban_Consumers_Food_in_US_City_Average - Average_Price_Milk_Fresh_Whole_Fortified_Cost_per_Gallon38_Liters_in_US_City_Average</v>
      </c>
      <c r="E70">
        <f t="shared" si="1"/>
        <v>69</v>
      </c>
    </row>
    <row r="71" spans="1:5" ht="16" x14ac:dyDescent="0.25">
      <c r="A71" s="15" t="s">
        <v>15</v>
      </c>
      <c r="B71" s="16" t="s">
        <v>12</v>
      </c>
      <c r="C71" s="17">
        <v>0.54860160499999999</v>
      </c>
      <c r="D71" s="19" t="str">
        <f>A71&amp;" - "&amp;B71</f>
        <v>Retail_Sales_Retail_Trade_and_Food_Services - Producer_Price_Index_by_Commodity_Processed_Foods_and_Feeds_Chicken_and_Turkey_Feed_Supplements__________Concentrates_and_Premixes</v>
      </c>
      <c r="E71">
        <f t="shared" si="1"/>
        <v>70</v>
      </c>
    </row>
    <row r="72" spans="1:5" ht="16" x14ac:dyDescent="0.25">
      <c r="A72" s="15" t="s">
        <v>4</v>
      </c>
      <c r="B72" s="16" t="s">
        <v>2</v>
      </c>
      <c r="C72" s="17">
        <v>0.54656646799999997</v>
      </c>
      <c r="D72" s="19" t="str">
        <f>A72&amp;" - "&amp;B72</f>
        <v>Average_Price_Milk_Fresh_Whole_Fortified_Cost_per_Gallon38_Liters_in_US_City_Average - Average_Price_Chicken_Fresh_Whole_Cost_per_Pound4536_Grams_in_US_City_Average</v>
      </c>
      <c r="E72">
        <f t="shared" si="1"/>
        <v>71</v>
      </c>
    </row>
    <row r="73" spans="1:5" ht="16" x14ac:dyDescent="0.25">
      <c r="A73" s="12" t="s">
        <v>12</v>
      </c>
      <c r="B73" s="13" t="s">
        <v>9</v>
      </c>
      <c r="C73" s="14">
        <v>0.54120248900000001</v>
      </c>
      <c r="D73" s="19" t="str">
        <f>A73&amp;" - "&amp;B73</f>
        <v>Producer_Price_Index_by_Commodity_Processed_Foods_and_Feeds_Chicken_and_Turkey_Feed_Supplements__________Concentrates_and_Premixes - Personal_Consumption_Expenditures</v>
      </c>
      <c r="E73">
        <f t="shared" si="1"/>
        <v>72</v>
      </c>
    </row>
    <row r="74" spans="1:5" ht="16" x14ac:dyDescent="0.25">
      <c r="A74" s="15" t="s">
        <v>5</v>
      </c>
      <c r="B74" s="16" t="s">
        <v>4</v>
      </c>
      <c r="C74" s="17">
        <v>0.53831151499999996</v>
      </c>
      <c r="D74" s="19" t="str">
        <f>A74&amp;" - "&amp;B74</f>
        <v>Consumer_Price_Index_for_All_Urban_Consumers_All_Items_in_US_City_Average - Average_Price_Milk_Fresh_Whole_Fortified_Cost_per_Gallon38_Liters_in_US_City_Average</v>
      </c>
      <c r="E74">
        <f t="shared" si="1"/>
        <v>73</v>
      </c>
    </row>
    <row r="75" spans="1:5" ht="16" x14ac:dyDescent="0.25">
      <c r="A75" s="15" t="s">
        <v>15</v>
      </c>
      <c r="B75" s="16" t="s">
        <v>4</v>
      </c>
      <c r="C75" s="17">
        <v>0.52858790899999997</v>
      </c>
      <c r="D75" s="19" t="str">
        <f>A75&amp;" - "&amp;B75</f>
        <v>Retail_Sales_Retail_Trade_and_Food_Services - Average_Price_Milk_Fresh_Whole_Fortified_Cost_per_Gallon38_Liters_in_US_City_Average</v>
      </c>
      <c r="E75">
        <f t="shared" si="1"/>
        <v>74</v>
      </c>
    </row>
    <row r="76" spans="1:5" ht="16" x14ac:dyDescent="0.25">
      <c r="A76" s="12" t="s">
        <v>14</v>
      </c>
      <c r="B76" s="13" t="s">
        <v>12</v>
      </c>
      <c r="C76" s="14">
        <v>0.527855034</v>
      </c>
      <c r="D76" s="19" t="str">
        <f>A76&amp;" - "&amp;B76</f>
        <v>Retail_Sales_Restaurants_and_Other_Eating_Places - Producer_Price_Index_by_Commodity_Processed_Foods_and_Feeds_Chicken_and_Turkey_Feed_Supplements__________Concentrates_and_Premixes</v>
      </c>
      <c r="E76">
        <f t="shared" si="1"/>
        <v>75</v>
      </c>
    </row>
    <row r="77" spans="1:5" ht="16" x14ac:dyDescent="0.25">
      <c r="A77" s="12" t="s">
        <v>12</v>
      </c>
      <c r="B77" s="13" t="s">
        <v>3</v>
      </c>
      <c r="C77" s="14">
        <v>0.52342059100000005</v>
      </c>
      <c r="D77" s="19" t="str">
        <f>A77&amp;" - "&amp;B77</f>
        <v>Producer_Price_Index_by_Commodity_Processed_Foods_and_Feeds_Chicken_and_Turkey_Feed_Supplements__________Concentrates_and_Premixes - Average_Price_Eggs_Grade_A_Large_Cost_per_Dozen_in_US_City_Average</v>
      </c>
      <c r="E77">
        <f t="shared" si="1"/>
        <v>76</v>
      </c>
    </row>
    <row r="78" spans="1:5" ht="16" x14ac:dyDescent="0.25">
      <c r="A78" s="12" t="s">
        <v>19</v>
      </c>
      <c r="B78" s="13" t="s">
        <v>1</v>
      </c>
      <c r="C78" s="14">
        <v>0.51627057600000004</v>
      </c>
      <c r="D78" s="19" t="str">
        <f>A78&amp;" - "&amp;B78</f>
        <v>US_Regular_All_Formulations_Gas_Price - Average_Price_Chicken_Breast_Boneless_Cost_per_Pound4536_Grams_in_US_City_Average</v>
      </c>
      <c r="E78">
        <f t="shared" si="1"/>
        <v>77</v>
      </c>
    </row>
    <row r="79" spans="1:5" ht="16" x14ac:dyDescent="0.25">
      <c r="A79" s="15" t="s">
        <v>9</v>
      </c>
      <c r="B79" s="16" t="s">
        <v>4</v>
      </c>
      <c r="C79" s="17">
        <v>0.50228965699999994</v>
      </c>
      <c r="D79" s="19" t="str">
        <f>A79&amp;" - "&amp;B79</f>
        <v>Personal_Consumption_Expenditures - Average_Price_Milk_Fresh_Whole_Fortified_Cost_per_Gallon38_Liters_in_US_City_Average</v>
      </c>
      <c r="E79">
        <f t="shared" si="1"/>
        <v>78</v>
      </c>
    </row>
    <row r="80" spans="1:5" ht="16" x14ac:dyDescent="0.25">
      <c r="A80" s="12" t="s">
        <v>18</v>
      </c>
      <c r="B80" s="13" t="s">
        <v>3</v>
      </c>
      <c r="C80" s="14">
        <v>0.498955223</v>
      </c>
      <c r="D80" s="19" t="str">
        <f>A80&amp;" - "&amp;B80</f>
        <v>US_Diesel_Sales_Price - Average_Price_Eggs_Grade_A_Large_Cost_per_Dozen_in_US_City_Average</v>
      </c>
      <c r="E80">
        <f t="shared" si="1"/>
        <v>79</v>
      </c>
    </row>
    <row r="81" spans="1:5" ht="16" x14ac:dyDescent="0.25">
      <c r="A81" s="12" t="s">
        <v>14</v>
      </c>
      <c r="B81" s="13" t="s">
        <v>4</v>
      </c>
      <c r="C81" s="14">
        <v>0.49668289199999999</v>
      </c>
      <c r="D81" s="19" t="str">
        <f>A81&amp;" - "&amp;B81</f>
        <v>Retail_Sales_Restaurants_and_Other_Eating_Places - Average_Price_Milk_Fresh_Whole_Fortified_Cost_per_Gallon38_Liters_in_US_City_Average</v>
      </c>
      <c r="E81">
        <f t="shared" si="1"/>
        <v>80</v>
      </c>
    </row>
    <row r="82" spans="1:5" ht="16" x14ac:dyDescent="0.25">
      <c r="A82" s="12" t="s">
        <v>11</v>
      </c>
      <c r="B82" s="13" t="s">
        <v>1</v>
      </c>
      <c r="C82" s="14">
        <v>0.45788331399999999</v>
      </c>
      <c r="D82" s="19" t="str">
        <f>A82&amp;" - "&amp;B82</f>
        <v>Producer_Price_Index_by_Commodity_Farm_Products_Soybeans - Average_Price_Chicken_Breast_Boneless_Cost_per_Pound4536_Grams_in_US_City_Average</v>
      </c>
      <c r="E82">
        <f t="shared" si="1"/>
        <v>81</v>
      </c>
    </row>
    <row r="83" spans="1:5" ht="16" x14ac:dyDescent="0.25">
      <c r="A83" s="15" t="s">
        <v>13</v>
      </c>
      <c r="B83" s="16" t="s">
        <v>12</v>
      </c>
      <c r="C83" s="17">
        <v>0.44819383800000001</v>
      </c>
      <c r="D83" s="19" t="str">
        <f>A83&amp;" - "&amp;B83</f>
        <v>Real_Disposable_Personal_Income - Producer_Price_Index_by_Commodity_Processed_Foods_and_Feeds_Chicken_and_Turkey_Feed_Supplements__________Concentrates_and_Premixes</v>
      </c>
      <c r="E83">
        <f t="shared" si="1"/>
        <v>82</v>
      </c>
    </row>
    <row r="84" spans="1:5" ht="16" x14ac:dyDescent="0.25">
      <c r="A84" s="12" t="s">
        <v>13</v>
      </c>
      <c r="B84" s="13" t="s">
        <v>1</v>
      </c>
      <c r="C84" s="14">
        <v>0.447176254</v>
      </c>
      <c r="D84" s="19" t="str">
        <f>A84&amp;" - "&amp;B84</f>
        <v>Real_Disposable_Personal_Income - Average_Price_Chicken_Breast_Boneless_Cost_per_Pound4536_Grams_in_US_City_Average</v>
      </c>
      <c r="E84">
        <f t="shared" si="1"/>
        <v>83</v>
      </c>
    </row>
    <row r="85" spans="1:5" ht="16" x14ac:dyDescent="0.25">
      <c r="A85" s="12" t="s">
        <v>18</v>
      </c>
      <c r="B85" s="13" t="s">
        <v>5</v>
      </c>
      <c r="C85" s="14">
        <v>0.44066025199999997</v>
      </c>
      <c r="D85" s="19" t="str">
        <f>A85&amp;" - "&amp;B85</f>
        <v>US_Diesel_Sales_Price - Consumer_Price_Index_for_All_Urban_Consumers_All_Items_in_US_City_Average</v>
      </c>
      <c r="E85">
        <f t="shared" si="1"/>
        <v>84</v>
      </c>
    </row>
    <row r="86" spans="1:5" ht="16" x14ac:dyDescent="0.25">
      <c r="A86" s="15" t="s">
        <v>18</v>
      </c>
      <c r="B86" s="16" t="s">
        <v>2</v>
      </c>
      <c r="C86" s="17">
        <v>0.43941938899999999</v>
      </c>
      <c r="D86" s="19" t="str">
        <f>A86&amp;" - "&amp;B86</f>
        <v>US_Diesel_Sales_Price - Average_Price_Chicken_Fresh_Whole_Cost_per_Pound4536_Grams_in_US_City_Average</v>
      </c>
      <c r="E86">
        <f t="shared" si="1"/>
        <v>85</v>
      </c>
    </row>
    <row r="87" spans="1:5" ht="16" x14ac:dyDescent="0.25">
      <c r="A87" s="15" t="s">
        <v>8</v>
      </c>
      <c r="B87" s="16" t="s">
        <v>1</v>
      </c>
      <c r="C87" s="17">
        <v>0.43710756299999998</v>
      </c>
      <c r="D87" s="19" t="str">
        <f>A87&amp;" - "&amp;B87</f>
        <v>Federal_Funds_Effective_Rate - Average_Price_Chicken_Breast_Boneless_Cost_per_Pound4536_Grams_in_US_City_Average</v>
      </c>
      <c r="E87">
        <f t="shared" si="1"/>
        <v>86</v>
      </c>
    </row>
    <row r="88" spans="1:5" ht="16" x14ac:dyDescent="0.25">
      <c r="A88" s="15" t="s">
        <v>18</v>
      </c>
      <c r="B88" s="16" t="s">
        <v>7</v>
      </c>
      <c r="C88" s="17">
        <v>0.426831919</v>
      </c>
      <c r="D88" s="19" t="str">
        <f>A88&amp;" - "&amp;B88</f>
        <v>US_Diesel_Sales_Price - Consumer_Price_Index_for_All_Urban_Consumers_Food_in_US_City_Average</v>
      </c>
      <c r="E88">
        <f t="shared" si="1"/>
        <v>87</v>
      </c>
    </row>
    <row r="89" spans="1:5" ht="16" x14ac:dyDescent="0.25">
      <c r="A89" s="12" t="s">
        <v>11</v>
      </c>
      <c r="B89" s="13" t="s">
        <v>2</v>
      </c>
      <c r="C89" s="14">
        <v>0.42155991300000001</v>
      </c>
      <c r="D89" s="19" t="str">
        <f>A89&amp;" - "&amp;B89</f>
        <v>Producer_Price_Index_by_Commodity_Farm_Products_Soybeans - Average_Price_Chicken_Fresh_Whole_Cost_per_Pound4536_Grams_in_US_City_Average</v>
      </c>
      <c r="E89">
        <f t="shared" si="1"/>
        <v>88</v>
      </c>
    </row>
    <row r="90" spans="1:5" ht="16" x14ac:dyDescent="0.25">
      <c r="A90" s="15" t="s">
        <v>18</v>
      </c>
      <c r="B90" s="16" t="s">
        <v>15</v>
      </c>
      <c r="C90" s="17">
        <v>0.41997964500000001</v>
      </c>
      <c r="D90" s="19" t="str">
        <f>A90&amp;" - "&amp;B90</f>
        <v>US_Diesel_Sales_Price - Retail_Sales_Retail_Trade_and_Food_Services</v>
      </c>
      <c r="E90">
        <f t="shared" si="1"/>
        <v>89</v>
      </c>
    </row>
    <row r="91" spans="1:5" ht="16" x14ac:dyDescent="0.25">
      <c r="A91" s="15" t="s">
        <v>8</v>
      </c>
      <c r="B91" s="16" t="s">
        <v>6</v>
      </c>
      <c r="C91" s="17">
        <v>0.41435639600000002</v>
      </c>
      <c r="D91" s="19" t="str">
        <f>A91&amp;" - "&amp;B91</f>
        <v>Federal_Funds_Effective_Rate - Consumer_Price_Index_for_All_Urban_Consumers_Energy_Services_in_US_City_Average</v>
      </c>
      <c r="E91">
        <f t="shared" si="1"/>
        <v>90</v>
      </c>
    </row>
    <row r="92" spans="1:5" ht="16" x14ac:dyDescent="0.25">
      <c r="A92" s="15" t="s">
        <v>13</v>
      </c>
      <c r="B92" s="16" t="s">
        <v>3</v>
      </c>
      <c r="C92" s="17">
        <v>0.41214548400000001</v>
      </c>
      <c r="D92" s="19" t="str">
        <f>A92&amp;" - "&amp;B92</f>
        <v>Real_Disposable_Personal_Income - Average_Price_Eggs_Grade_A_Large_Cost_per_Dozen_in_US_City_Average</v>
      </c>
      <c r="E92">
        <f t="shared" si="1"/>
        <v>91</v>
      </c>
    </row>
    <row r="93" spans="1:5" ht="16" x14ac:dyDescent="0.25">
      <c r="A93" s="12" t="s">
        <v>19</v>
      </c>
      <c r="B93" s="13" t="s">
        <v>6</v>
      </c>
      <c r="C93" s="14">
        <v>0.410204126</v>
      </c>
      <c r="D93" s="19" t="str">
        <f>A93&amp;" - "&amp;B93</f>
        <v>US_Regular_All_Formulations_Gas_Price - Consumer_Price_Index_for_All_Urban_Consumers_Energy_Services_in_US_City_Average</v>
      </c>
      <c r="E93">
        <f t="shared" si="1"/>
        <v>92</v>
      </c>
    </row>
    <row r="94" spans="1:5" ht="16" x14ac:dyDescent="0.25">
      <c r="A94" s="15" t="s">
        <v>10</v>
      </c>
      <c r="B94" s="16" t="s">
        <v>1</v>
      </c>
      <c r="C94" s="17">
        <v>0.405409348</v>
      </c>
      <c r="D94" s="19" t="str">
        <f>A94&amp;" - "&amp;B94</f>
        <v>Producer_Price_Index_by_Commodity_Farm_Products_Corn - Average_Price_Chicken_Breast_Boneless_Cost_per_Pound4536_Grams_in_US_City_Average</v>
      </c>
      <c r="E94">
        <f t="shared" si="1"/>
        <v>93</v>
      </c>
    </row>
    <row r="95" spans="1:5" ht="16" x14ac:dyDescent="0.25">
      <c r="A95" s="15" t="s">
        <v>18</v>
      </c>
      <c r="B95" s="16" t="s">
        <v>14</v>
      </c>
      <c r="C95" s="17">
        <v>0.39896640700000002</v>
      </c>
      <c r="D95" s="19" t="str">
        <f>A95&amp;" - "&amp;B95</f>
        <v>US_Diesel_Sales_Price - Retail_Sales_Restaurants_and_Other_Eating_Places</v>
      </c>
      <c r="E95">
        <f t="shared" si="1"/>
        <v>94</v>
      </c>
    </row>
    <row r="96" spans="1:5" ht="16" x14ac:dyDescent="0.25">
      <c r="A96" s="12" t="s">
        <v>18</v>
      </c>
      <c r="B96" s="13" t="s">
        <v>9</v>
      </c>
      <c r="C96" s="14">
        <v>0.39140945700000002</v>
      </c>
      <c r="D96" s="19" t="str">
        <f>A96&amp;" - "&amp;B96</f>
        <v>US_Diesel_Sales_Price - Personal_Consumption_Expenditures</v>
      </c>
      <c r="E96">
        <f t="shared" si="1"/>
        <v>95</v>
      </c>
    </row>
    <row r="97" spans="1:5" ht="16" x14ac:dyDescent="0.25">
      <c r="A97" s="12" t="s">
        <v>11</v>
      </c>
      <c r="B97" s="13" t="s">
        <v>6</v>
      </c>
      <c r="C97" s="14">
        <v>0.39075432599999999</v>
      </c>
      <c r="D97" s="19" t="str">
        <f>A97&amp;" - "&amp;B97</f>
        <v>Producer_Price_Index_by_Commodity_Farm_Products_Soybeans - Consumer_Price_Index_for_All_Urban_Consumers_Energy_Services_in_US_City_Average</v>
      </c>
      <c r="E97">
        <f t="shared" si="1"/>
        <v>96</v>
      </c>
    </row>
    <row r="98" spans="1:5" ht="16" x14ac:dyDescent="0.25">
      <c r="A98" s="12" t="s">
        <v>11</v>
      </c>
      <c r="B98" s="13" t="s">
        <v>7</v>
      </c>
      <c r="C98" s="14">
        <v>0.38323118499999997</v>
      </c>
      <c r="D98" s="19" t="str">
        <f>A98&amp;" - "&amp;B98</f>
        <v>Producer_Price_Index_by_Commodity_Farm_Products_Soybeans - Consumer_Price_Index_for_All_Urban_Consumers_Food_in_US_City_Average</v>
      </c>
      <c r="E98">
        <f t="shared" si="1"/>
        <v>97</v>
      </c>
    </row>
    <row r="99" spans="1:5" ht="16" x14ac:dyDescent="0.25">
      <c r="A99" s="15" t="s">
        <v>11</v>
      </c>
      <c r="B99" s="16" t="s">
        <v>5</v>
      </c>
      <c r="C99" s="17">
        <v>0.370783535</v>
      </c>
      <c r="D99" s="19" t="str">
        <f>A99&amp;" - "&amp;B99</f>
        <v>Producer_Price_Index_by_Commodity_Farm_Products_Soybeans - Consumer_Price_Index_for_All_Urban_Consumers_All_Items_in_US_City_Average</v>
      </c>
      <c r="E99">
        <f t="shared" si="1"/>
        <v>98</v>
      </c>
    </row>
    <row r="100" spans="1:5" ht="16" x14ac:dyDescent="0.25">
      <c r="A100" s="15" t="s">
        <v>19</v>
      </c>
      <c r="B100" s="16" t="s">
        <v>3</v>
      </c>
      <c r="C100" s="17">
        <v>0.367513064</v>
      </c>
      <c r="D100" s="19" t="str">
        <f>A100&amp;" - "&amp;B100</f>
        <v>US_Regular_All_Formulations_Gas_Price - Average_Price_Eggs_Grade_A_Large_Cost_per_Dozen_in_US_City_Average</v>
      </c>
      <c r="E100">
        <f t="shared" si="1"/>
        <v>99</v>
      </c>
    </row>
    <row r="101" spans="1:5" ht="16" x14ac:dyDescent="0.25">
      <c r="A101" s="15" t="s">
        <v>11</v>
      </c>
      <c r="B101" s="16" t="s">
        <v>3</v>
      </c>
      <c r="C101" s="17">
        <v>0.36131901900000002</v>
      </c>
      <c r="D101" s="19" t="str">
        <f>A101&amp;" - "&amp;B101</f>
        <v>Producer_Price_Index_by_Commodity_Farm_Products_Soybeans - Average_Price_Eggs_Grade_A_Large_Cost_per_Dozen_in_US_City_Average</v>
      </c>
      <c r="E101">
        <f t="shared" si="1"/>
        <v>100</v>
      </c>
    </row>
    <row r="102" spans="1:5" ht="16" x14ac:dyDescent="0.25">
      <c r="A102" s="12" t="s">
        <v>14</v>
      </c>
      <c r="B102" s="13" t="s">
        <v>8</v>
      </c>
      <c r="C102" s="14">
        <v>0.35499451799999998</v>
      </c>
      <c r="D102" s="19" t="str">
        <f>A102&amp;" - "&amp;B102</f>
        <v>Retail_Sales_Restaurants_and_Other_Eating_Places - Federal_Funds_Effective_Rate</v>
      </c>
      <c r="E102">
        <f t="shared" si="1"/>
        <v>101</v>
      </c>
    </row>
    <row r="103" spans="1:5" ht="16" x14ac:dyDescent="0.25">
      <c r="A103" s="12" t="s">
        <v>10</v>
      </c>
      <c r="B103" s="13" t="s">
        <v>3</v>
      </c>
      <c r="C103" s="14">
        <v>0.35179983199999998</v>
      </c>
      <c r="D103" s="19" t="str">
        <f>A103&amp;" - "&amp;B103</f>
        <v>Producer_Price_Index_by_Commodity_Farm_Products_Corn - Average_Price_Eggs_Grade_A_Large_Cost_per_Dozen_in_US_City_Average</v>
      </c>
      <c r="E103">
        <f t="shared" si="1"/>
        <v>102</v>
      </c>
    </row>
    <row r="104" spans="1:5" ht="16" x14ac:dyDescent="0.25">
      <c r="A104" s="15" t="s">
        <v>15</v>
      </c>
      <c r="B104" s="16" t="s">
        <v>8</v>
      </c>
      <c r="C104" s="17">
        <v>0.33676245500000002</v>
      </c>
      <c r="D104" s="19" t="str">
        <f>A104&amp;" - "&amp;B104</f>
        <v>Retail_Sales_Retail_Trade_and_Food_Services - Federal_Funds_Effective_Rate</v>
      </c>
      <c r="E104">
        <f t="shared" si="1"/>
        <v>103</v>
      </c>
    </row>
    <row r="105" spans="1:5" ht="16" x14ac:dyDescent="0.25">
      <c r="A105" s="15" t="s">
        <v>10</v>
      </c>
      <c r="B105" s="16" t="s">
        <v>6</v>
      </c>
      <c r="C105" s="17">
        <v>0.33492182100000001</v>
      </c>
      <c r="D105" s="19" t="str">
        <f>A105&amp;" - "&amp;B105</f>
        <v>Producer_Price_Index_by_Commodity_Farm_Products_Corn - Consumer_Price_Index_for_All_Urban_Consumers_Energy_Services_in_US_City_Average</v>
      </c>
      <c r="E105">
        <f t="shared" si="1"/>
        <v>104</v>
      </c>
    </row>
    <row r="106" spans="1:5" ht="16" x14ac:dyDescent="0.25">
      <c r="A106" s="12" t="s">
        <v>15</v>
      </c>
      <c r="B106" s="13" t="s">
        <v>11</v>
      </c>
      <c r="C106" s="14">
        <v>0.33352963800000002</v>
      </c>
      <c r="D106" s="19" t="str">
        <f>A106&amp;" - "&amp;B106</f>
        <v>Retail_Sales_Retail_Trade_and_Food_Services - Producer_Price_Index_by_Commodity_Farm_Products_Soybeans</v>
      </c>
      <c r="E106">
        <f t="shared" si="1"/>
        <v>105</v>
      </c>
    </row>
    <row r="107" spans="1:5" ht="16" x14ac:dyDescent="0.25">
      <c r="A107" s="15" t="s">
        <v>13</v>
      </c>
      <c r="B107" s="16" t="s">
        <v>4</v>
      </c>
      <c r="C107" s="17">
        <v>0.324751183</v>
      </c>
      <c r="D107" s="19" t="str">
        <f>A107&amp;" - "&amp;B107</f>
        <v>Real_Disposable_Personal_Income - Average_Price_Milk_Fresh_Whole_Fortified_Cost_per_Gallon38_Liters_in_US_City_Average</v>
      </c>
      <c r="E107">
        <f t="shared" si="1"/>
        <v>106</v>
      </c>
    </row>
    <row r="108" spans="1:5" ht="16" x14ac:dyDescent="0.25">
      <c r="A108" s="15" t="s">
        <v>9</v>
      </c>
      <c r="B108" s="16" t="s">
        <v>8</v>
      </c>
      <c r="C108" s="17">
        <v>0.31687858899999999</v>
      </c>
      <c r="D108" s="19" t="str">
        <f>A108&amp;" - "&amp;B108</f>
        <v>Personal_Consumption_Expenditures - Federal_Funds_Effective_Rate</v>
      </c>
      <c r="E108">
        <f t="shared" si="1"/>
        <v>107</v>
      </c>
    </row>
    <row r="109" spans="1:5" ht="16" x14ac:dyDescent="0.25">
      <c r="A109" s="15" t="s">
        <v>10</v>
      </c>
      <c r="B109" s="16" t="s">
        <v>7</v>
      </c>
      <c r="C109" s="17">
        <v>0.31431543899999997</v>
      </c>
      <c r="D109" s="19" t="str">
        <f>A109&amp;" - "&amp;B109</f>
        <v>Producer_Price_Index_by_Commodity_Farm_Products_Corn - Consumer_Price_Index_for_All_Urban_Consumers_Food_in_US_City_Average</v>
      </c>
      <c r="E109">
        <f t="shared" si="1"/>
        <v>108</v>
      </c>
    </row>
    <row r="110" spans="1:5" ht="16" x14ac:dyDescent="0.25">
      <c r="A110" s="15" t="s">
        <v>11</v>
      </c>
      <c r="B110" s="16" t="s">
        <v>9</v>
      </c>
      <c r="C110" s="17">
        <v>0.31236544599999999</v>
      </c>
      <c r="D110" s="19" t="str">
        <f>A110&amp;" - "&amp;B110</f>
        <v>Producer_Price_Index_by_Commodity_Farm_Products_Soybeans - Personal_Consumption_Expenditures</v>
      </c>
      <c r="E110">
        <f t="shared" si="1"/>
        <v>109</v>
      </c>
    </row>
    <row r="111" spans="1:5" ht="16" x14ac:dyDescent="0.25">
      <c r="A111" s="12" t="s">
        <v>10</v>
      </c>
      <c r="B111" s="13" t="s">
        <v>5</v>
      </c>
      <c r="C111" s="14">
        <v>0.30997823200000002</v>
      </c>
      <c r="D111" s="19" t="str">
        <f>A111&amp;" - "&amp;B111</f>
        <v>Producer_Price_Index_by_Commodity_Farm_Products_Corn - Consumer_Price_Index_for_All_Urban_Consumers_All_Items_in_US_City_Average</v>
      </c>
      <c r="E111">
        <f t="shared" si="1"/>
        <v>110</v>
      </c>
    </row>
    <row r="112" spans="1:5" ht="16" x14ac:dyDescent="0.25">
      <c r="A112" s="15" t="s">
        <v>10</v>
      </c>
      <c r="B112" s="16" t="s">
        <v>2</v>
      </c>
      <c r="C112" s="17">
        <v>0.30839266900000001</v>
      </c>
      <c r="D112" s="19" t="str">
        <f>A112&amp;" - "&amp;B112</f>
        <v>Producer_Price_Index_by_Commodity_Farm_Products_Corn - Average_Price_Chicken_Fresh_Whole_Cost_per_Pound4536_Grams_in_US_City_Average</v>
      </c>
      <c r="E112">
        <f t="shared" si="1"/>
        <v>111</v>
      </c>
    </row>
    <row r="113" spans="1:5" ht="16" x14ac:dyDescent="0.25">
      <c r="A113" s="15" t="s">
        <v>19</v>
      </c>
      <c r="B113" s="16" t="s">
        <v>5</v>
      </c>
      <c r="C113" s="17">
        <v>0.30343725799999999</v>
      </c>
      <c r="D113" s="19" t="str">
        <f>A113&amp;" - "&amp;B113</f>
        <v>US_Regular_All_Formulations_Gas_Price - Consumer_Price_Index_for_All_Urban_Consumers_All_Items_in_US_City_Average</v>
      </c>
      <c r="E113">
        <f t="shared" si="1"/>
        <v>112</v>
      </c>
    </row>
    <row r="114" spans="1:5" ht="16" x14ac:dyDescent="0.25">
      <c r="A114" s="15" t="s">
        <v>14</v>
      </c>
      <c r="B114" s="16" t="s">
        <v>11</v>
      </c>
      <c r="C114" s="17">
        <v>0.30125955700000001</v>
      </c>
      <c r="D114" s="19" t="str">
        <f>A114&amp;" - "&amp;B114</f>
        <v>Retail_Sales_Restaurants_and_Other_Eating_Places - Producer_Price_Index_by_Commodity_Farm_Products_Soybeans</v>
      </c>
      <c r="E114">
        <f t="shared" si="1"/>
        <v>113</v>
      </c>
    </row>
    <row r="115" spans="1:5" ht="16" x14ac:dyDescent="0.25">
      <c r="A115" s="12" t="s">
        <v>8</v>
      </c>
      <c r="B115" s="13" t="s">
        <v>3</v>
      </c>
      <c r="C115" s="14">
        <v>0.29846032099999997</v>
      </c>
      <c r="D115" s="19" t="str">
        <f>A115&amp;" - "&amp;B115</f>
        <v>Federal_Funds_Effective_Rate - Average_Price_Eggs_Grade_A_Large_Cost_per_Dozen_in_US_City_Average</v>
      </c>
      <c r="E115">
        <f t="shared" si="1"/>
        <v>114</v>
      </c>
    </row>
    <row r="116" spans="1:5" ht="16" x14ac:dyDescent="0.25">
      <c r="A116" s="12" t="s">
        <v>19</v>
      </c>
      <c r="B116" s="13" t="s">
        <v>2</v>
      </c>
      <c r="C116" s="14">
        <v>0.298094474</v>
      </c>
      <c r="D116" s="19" t="str">
        <f>A116&amp;" - "&amp;B116</f>
        <v>US_Regular_All_Formulations_Gas_Price - Average_Price_Chicken_Fresh_Whole_Cost_per_Pound4536_Grams_in_US_City_Average</v>
      </c>
      <c r="E116">
        <f t="shared" si="1"/>
        <v>115</v>
      </c>
    </row>
    <row r="117" spans="1:5" ht="16" x14ac:dyDescent="0.25">
      <c r="A117" s="12" t="s">
        <v>19</v>
      </c>
      <c r="B117" s="13" t="s">
        <v>15</v>
      </c>
      <c r="C117" s="14">
        <v>0.28976552799999999</v>
      </c>
      <c r="D117" s="19" t="str">
        <f>A117&amp;" - "&amp;B117</f>
        <v>US_Regular_All_Formulations_Gas_Price - Retail_Sales_Retail_Trade_and_Food_Services</v>
      </c>
      <c r="E117">
        <f t="shared" si="1"/>
        <v>116</v>
      </c>
    </row>
    <row r="118" spans="1:5" ht="16" x14ac:dyDescent="0.25">
      <c r="A118" s="12" t="s">
        <v>15</v>
      </c>
      <c r="B118" s="13" t="s">
        <v>10</v>
      </c>
      <c r="C118" s="14">
        <v>0.28956533800000001</v>
      </c>
      <c r="D118" s="19" t="str">
        <f>A118&amp;" - "&amp;B118</f>
        <v>Retail_Sales_Retail_Trade_and_Food_Services - Producer_Price_Index_by_Commodity_Farm_Products_Corn</v>
      </c>
      <c r="E118">
        <f t="shared" si="1"/>
        <v>117</v>
      </c>
    </row>
    <row r="119" spans="1:5" ht="16" x14ac:dyDescent="0.25">
      <c r="A119" s="12" t="s">
        <v>19</v>
      </c>
      <c r="B119" s="13" t="s">
        <v>14</v>
      </c>
      <c r="C119" s="14">
        <v>0.28739624800000002</v>
      </c>
      <c r="D119" s="19" t="str">
        <f>A119&amp;" - "&amp;B119</f>
        <v>US_Regular_All_Formulations_Gas_Price - Retail_Sales_Restaurants_and_Other_Eating_Places</v>
      </c>
      <c r="E119">
        <f t="shared" si="1"/>
        <v>118</v>
      </c>
    </row>
    <row r="120" spans="1:5" ht="16" x14ac:dyDescent="0.25">
      <c r="A120" s="12" t="s">
        <v>19</v>
      </c>
      <c r="B120" s="13" t="s">
        <v>7</v>
      </c>
      <c r="C120" s="14">
        <v>0.28396193400000003</v>
      </c>
      <c r="D120" s="19" t="str">
        <f>A120&amp;" - "&amp;B120</f>
        <v>US_Regular_All_Formulations_Gas_Price - Consumer_Price_Index_for_All_Urban_Consumers_Food_in_US_City_Average</v>
      </c>
      <c r="E120">
        <f t="shared" si="1"/>
        <v>119</v>
      </c>
    </row>
    <row r="121" spans="1:5" ht="16" x14ac:dyDescent="0.25">
      <c r="A121" s="12" t="s">
        <v>8</v>
      </c>
      <c r="B121" s="13" t="s">
        <v>5</v>
      </c>
      <c r="C121" s="14">
        <v>0.27622296800000001</v>
      </c>
      <c r="D121" s="19" t="str">
        <f>A121&amp;" - "&amp;B121</f>
        <v>Federal_Funds_Effective_Rate - Consumer_Price_Index_for_All_Urban_Consumers_All_Items_in_US_City_Average</v>
      </c>
      <c r="E121">
        <f t="shared" si="1"/>
        <v>120</v>
      </c>
    </row>
    <row r="122" spans="1:5" ht="16" x14ac:dyDescent="0.25">
      <c r="A122" s="12" t="s">
        <v>10</v>
      </c>
      <c r="B122" s="13" t="s">
        <v>9</v>
      </c>
      <c r="C122" s="14">
        <v>0.260790085</v>
      </c>
      <c r="D122" s="19" t="str">
        <f>A122&amp;" - "&amp;B122</f>
        <v>Producer_Price_Index_by_Commodity_Farm_Products_Corn - Personal_Consumption_Expenditures</v>
      </c>
      <c r="E122">
        <f t="shared" si="1"/>
        <v>121</v>
      </c>
    </row>
    <row r="123" spans="1:5" ht="16" x14ac:dyDescent="0.25">
      <c r="A123" s="15" t="s">
        <v>19</v>
      </c>
      <c r="B123" s="16" t="s">
        <v>9</v>
      </c>
      <c r="C123" s="17">
        <v>0.25628356499999999</v>
      </c>
      <c r="D123" s="19" t="str">
        <f>A123&amp;" - "&amp;B123</f>
        <v>US_Regular_All_Formulations_Gas_Price - Personal_Consumption_Expenditures</v>
      </c>
      <c r="E123">
        <f t="shared" si="1"/>
        <v>122</v>
      </c>
    </row>
    <row r="124" spans="1:5" ht="16" x14ac:dyDescent="0.25">
      <c r="A124" s="15" t="s">
        <v>14</v>
      </c>
      <c r="B124" s="16" t="s">
        <v>10</v>
      </c>
      <c r="C124" s="17">
        <v>0.25210090400000001</v>
      </c>
      <c r="D124" s="19" t="str">
        <f>A124&amp;" - "&amp;B124</f>
        <v>Retail_Sales_Restaurants_and_Other_Eating_Places - Producer_Price_Index_by_Commodity_Farm_Products_Corn</v>
      </c>
      <c r="E124">
        <f t="shared" si="1"/>
        <v>123</v>
      </c>
    </row>
    <row r="125" spans="1:5" ht="16" x14ac:dyDescent="0.25">
      <c r="A125" s="12" t="s">
        <v>8</v>
      </c>
      <c r="B125" s="13" t="s">
        <v>4</v>
      </c>
      <c r="C125" s="14">
        <v>0.25134441899999999</v>
      </c>
      <c r="D125" s="19" t="str">
        <f>A125&amp;" - "&amp;B125</f>
        <v>Federal_Funds_Effective_Rate - Average_Price_Milk_Fresh_Whole_Fortified_Cost_per_Gallon38_Liters_in_US_City_Average</v>
      </c>
      <c r="E125">
        <f t="shared" si="1"/>
        <v>124</v>
      </c>
    </row>
    <row r="126" spans="1:5" ht="16" x14ac:dyDescent="0.25">
      <c r="A126" s="15" t="s">
        <v>8</v>
      </c>
      <c r="B126" s="16" t="s">
        <v>7</v>
      </c>
      <c r="C126" s="17">
        <v>0.24086591800000001</v>
      </c>
      <c r="D126" s="19" t="str">
        <f>A126&amp;" - "&amp;B126</f>
        <v>Federal_Funds_Effective_Rate - Consumer_Price_Index_for_All_Urban_Consumers_Food_in_US_City_Average</v>
      </c>
      <c r="E126">
        <f t="shared" si="1"/>
        <v>125</v>
      </c>
    </row>
    <row r="127" spans="1:5" ht="16" x14ac:dyDescent="0.25">
      <c r="A127" s="12" t="s">
        <v>13</v>
      </c>
      <c r="B127" s="13" t="s">
        <v>11</v>
      </c>
      <c r="C127" s="14">
        <v>0.232883439</v>
      </c>
      <c r="D127" s="19" t="str">
        <f>A127&amp;" - "&amp;B127</f>
        <v>Real_Disposable_Personal_Income - Producer_Price_Index_by_Commodity_Farm_Products_Soybeans</v>
      </c>
      <c r="E127">
        <f t="shared" si="1"/>
        <v>126</v>
      </c>
    </row>
    <row r="128" spans="1:5" ht="16" x14ac:dyDescent="0.25">
      <c r="A128" s="12" t="s">
        <v>18</v>
      </c>
      <c r="B128" s="13" t="s">
        <v>13</v>
      </c>
      <c r="C128" s="14">
        <v>0.211618003</v>
      </c>
      <c r="D128" s="19" t="str">
        <f>A128&amp;" - "&amp;B128</f>
        <v>US_Diesel_Sales_Price - Real_Disposable_Personal_Income</v>
      </c>
      <c r="E128">
        <f t="shared" si="1"/>
        <v>127</v>
      </c>
    </row>
    <row r="129" spans="1:5" ht="16" x14ac:dyDescent="0.25">
      <c r="A129" s="12" t="s">
        <v>13</v>
      </c>
      <c r="B129" s="13" t="s">
        <v>10</v>
      </c>
      <c r="C129" s="14">
        <v>0.17345777900000001</v>
      </c>
      <c r="D129" s="19" t="str">
        <f>A129&amp;" - "&amp;B129</f>
        <v>Real_Disposable_Personal_Income - Producer_Price_Index_by_Commodity_Farm_Products_Corn</v>
      </c>
      <c r="E129">
        <f t="shared" si="1"/>
        <v>128</v>
      </c>
    </row>
    <row r="130" spans="1:5" ht="16" x14ac:dyDescent="0.25">
      <c r="A130" s="15" t="s">
        <v>13</v>
      </c>
      <c r="B130" s="16" t="s">
        <v>8</v>
      </c>
      <c r="C130" s="17">
        <v>0.16982841400000001</v>
      </c>
      <c r="D130" s="19" t="str">
        <f>A130&amp;" - "&amp;B130</f>
        <v>Real_Disposable_Personal_Income - Federal_Funds_Effective_Rate</v>
      </c>
      <c r="E130">
        <f t="shared" si="1"/>
        <v>129</v>
      </c>
    </row>
    <row r="131" spans="1:5" ht="16" x14ac:dyDescent="0.25">
      <c r="A131" s="15" t="s">
        <v>8</v>
      </c>
      <c r="B131" s="16" t="s">
        <v>2</v>
      </c>
      <c r="C131" s="17">
        <v>0.150677476</v>
      </c>
      <c r="D131" s="19" t="str">
        <f>A131&amp;" - "&amp;B131</f>
        <v>Federal_Funds_Effective_Rate - Average_Price_Chicken_Fresh_Whole_Cost_per_Pound4536_Grams_in_US_City_Average</v>
      </c>
      <c r="E131">
        <f t="shared" si="1"/>
        <v>130</v>
      </c>
    </row>
    <row r="132" spans="1:5" ht="16" x14ac:dyDescent="0.25">
      <c r="A132" s="15" t="s">
        <v>16</v>
      </c>
      <c r="B132" s="16" t="s">
        <v>11</v>
      </c>
      <c r="C132" s="17">
        <v>0.135431262</v>
      </c>
      <c r="D132" s="19" t="str">
        <f>A132&amp;" - "&amp;B132</f>
        <v>Unemployment_Rate - Producer_Price_Index_by_Commodity_Farm_Products_Soybeans</v>
      </c>
      <c r="E132">
        <f t="shared" ref="E132:E172" si="2">E131+1</f>
        <v>131</v>
      </c>
    </row>
    <row r="133" spans="1:5" ht="16" x14ac:dyDescent="0.25">
      <c r="A133" s="12" t="s">
        <v>18</v>
      </c>
      <c r="B133" s="13" t="s">
        <v>8</v>
      </c>
      <c r="C133" s="14">
        <v>0.13022499500000001</v>
      </c>
      <c r="D133" s="19" t="str">
        <f>A133&amp;" - "&amp;B133</f>
        <v>US_Diesel_Sales_Price - Federal_Funds_Effective_Rate</v>
      </c>
      <c r="E133">
        <f t="shared" si="2"/>
        <v>132</v>
      </c>
    </row>
    <row r="134" spans="1:5" ht="16" x14ac:dyDescent="0.25">
      <c r="A134" s="15" t="s">
        <v>16</v>
      </c>
      <c r="B134" s="16" t="s">
        <v>10</v>
      </c>
      <c r="C134" s="17">
        <v>0.114778964</v>
      </c>
      <c r="D134" s="19" t="str">
        <f>A134&amp;" - "&amp;B134</f>
        <v>Unemployment_Rate - Producer_Price_Index_by_Commodity_Farm_Products_Corn</v>
      </c>
      <c r="E134">
        <f t="shared" si="2"/>
        <v>133</v>
      </c>
    </row>
    <row r="135" spans="1:5" ht="16" x14ac:dyDescent="0.25">
      <c r="A135" s="15" t="s">
        <v>19</v>
      </c>
      <c r="B135" s="16" t="s">
        <v>8</v>
      </c>
      <c r="C135" s="17">
        <v>0.106983177</v>
      </c>
      <c r="D135" s="19" t="str">
        <f>A135&amp;" - "&amp;B135</f>
        <v>US_Regular_All_Formulations_Gas_Price - Federal_Funds_Effective_Rate</v>
      </c>
      <c r="E135">
        <f t="shared" si="2"/>
        <v>134</v>
      </c>
    </row>
    <row r="136" spans="1:5" ht="16" x14ac:dyDescent="0.25">
      <c r="A136" s="15" t="s">
        <v>19</v>
      </c>
      <c r="B136" s="16" t="s">
        <v>13</v>
      </c>
      <c r="C136" s="17">
        <v>7.0874063000000001E-2</v>
      </c>
      <c r="D136" s="19" t="str">
        <f>A136&amp;" - "&amp;B136</f>
        <v>US_Regular_All_Formulations_Gas_Price - Real_Disposable_Personal_Income</v>
      </c>
      <c r="E136">
        <f t="shared" si="2"/>
        <v>135</v>
      </c>
    </row>
    <row r="137" spans="1:5" ht="16" x14ac:dyDescent="0.25">
      <c r="A137" s="15" t="s">
        <v>17</v>
      </c>
      <c r="B137" s="16" t="s">
        <v>8</v>
      </c>
      <c r="C137" s="17">
        <v>-2.0199102E-2</v>
      </c>
      <c r="D137" s="19" t="str">
        <f>A137&amp;" - "&amp;B137</f>
        <v>University_of_Michigan_Consumer_Sentiment - Federal_Funds_Effective_Rate</v>
      </c>
      <c r="E137">
        <f t="shared" si="2"/>
        <v>136</v>
      </c>
    </row>
    <row r="138" spans="1:5" ht="16" x14ac:dyDescent="0.25">
      <c r="A138" s="12" t="s">
        <v>16</v>
      </c>
      <c r="B138" s="13" t="s">
        <v>12</v>
      </c>
      <c r="C138" s="14">
        <v>-2.2670682000000001E-2</v>
      </c>
      <c r="D138" s="19" t="str">
        <f>A138&amp;" - "&amp;B138</f>
        <v>Unemployment_Rate - Producer_Price_Index_by_Commodity_Processed_Foods_and_Feeds_Chicken_and_Turkey_Feed_Supplements__________Concentrates_and_Premixes</v>
      </c>
      <c r="E138">
        <f t="shared" si="2"/>
        <v>137</v>
      </c>
    </row>
    <row r="139" spans="1:5" ht="16" x14ac:dyDescent="0.25">
      <c r="A139" s="15" t="s">
        <v>17</v>
      </c>
      <c r="B139" s="16" t="s">
        <v>13</v>
      </c>
      <c r="C139" s="17">
        <v>-2.5310794000000001E-2</v>
      </c>
      <c r="D139" s="19" t="str">
        <f>A139&amp;" - "&amp;B139</f>
        <v>University_of_Michigan_Consumer_Sentiment - Real_Disposable_Personal_Income</v>
      </c>
      <c r="E139">
        <f t="shared" si="2"/>
        <v>138</v>
      </c>
    </row>
    <row r="140" spans="1:5" ht="16" x14ac:dyDescent="0.25">
      <c r="A140" s="15" t="s">
        <v>19</v>
      </c>
      <c r="B140" s="16" t="s">
        <v>16</v>
      </c>
      <c r="C140" s="17">
        <v>-5.993333E-2</v>
      </c>
      <c r="D140" s="19" t="str">
        <f>A140&amp;" - "&amp;B140</f>
        <v>US_Regular_All_Formulations_Gas_Price - Unemployment_Rate</v>
      </c>
      <c r="E140">
        <f t="shared" si="2"/>
        <v>139</v>
      </c>
    </row>
    <row r="141" spans="1:5" ht="16" x14ac:dyDescent="0.25">
      <c r="A141" s="12" t="s">
        <v>17</v>
      </c>
      <c r="B141" s="13" t="s">
        <v>14</v>
      </c>
      <c r="C141" s="14">
        <v>-0.136154094</v>
      </c>
      <c r="D141" s="19" t="str">
        <f>A141&amp;" - "&amp;B141</f>
        <v>University_of_Michigan_Consumer_Sentiment - Retail_Sales_Restaurants_and_Other_Eating_Places</v>
      </c>
      <c r="E141">
        <f t="shared" si="2"/>
        <v>140</v>
      </c>
    </row>
    <row r="142" spans="1:5" ht="16" x14ac:dyDescent="0.25">
      <c r="A142" s="15" t="s">
        <v>17</v>
      </c>
      <c r="B142" s="16" t="s">
        <v>9</v>
      </c>
      <c r="C142" s="17">
        <v>-0.14695154199999999</v>
      </c>
      <c r="D142" s="19" t="str">
        <f>A142&amp;" - "&amp;B142</f>
        <v>University_of_Michigan_Consumer_Sentiment - Personal_Consumption_Expenditures</v>
      </c>
      <c r="E142">
        <f t="shared" si="2"/>
        <v>141</v>
      </c>
    </row>
    <row r="143" spans="1:5" ht="16" x14ac:dyDescent="0.25">
      <c r="A143" s="12" t="s">
        <v>18</v>
      </c>
      <c r="B143" s="13" t="s">
        <v>16</v>
      </c>
      <c r="C143" s="14">
        <v>-0.14903408200000001</v>
      </c>
      <c r="D143" s="19" t="str">
        <f>A143&amp;" - "&amp;B143</f>
        <v>US_Diesel_Sales_Price - Unemployment_Rate</v>
      </c>
      <c r="E143">
        <f t="shared" si="2"/>
        <v>142</v>
      </c>
    </row>
    <row r="144" spans="1:5" ht="16" x14ac:dyDescent="0.25">
      <c r="A144" s="12" t="s">
        <v>17</v>
      </c>
      <c r="B144" s="13" t="s">
        <v>15</v>
      </c>
      <c r="C144" s="14">
        <v>-0.15376958399999999</v>
      </c>
      <c r="D144" s="19" t="str">
        <f>A144&amp;" - "&amp;B144</f>
        <v>University_of_Michigan_Consumer_Sentiment - Retail_Sales_Retail_Trade_and_Food_Services</v>
      </c>
      <c r="E144">
        <f t="shared" si="2"/>
        <v>143</v>
      </c>
    </row>
    <row r="145" spans="1:5" ht="16" x14ac:dyDescent="0.25">
      <c r="A145" s="12" t="s">
        <v>16</v>
      </c>
      <c r="B145" s="13" t="s">
        <v>4</v>
      </c>
      <c r="C145" s="14">
        <v>-0.184231229</v>
      </c>
      <c r="D145" s="19" t="str">
        <f>A145&amp;" - "&amp;B145</f>
        <v>Unemployment_Rate - Average_Price_Milk_Fresh_Whole_Fortified_Cost_per_Gallon38_Liters_in_US_City_Average</v>
      </c>
      <c r="E145">
        <f t="shared" si="2"/>
        <v>144</v>
      </c>
    </row>
    <row r="146" spans="1:5" ht="16" x14ac:dyDescent="0.25">
      <c r="A146" s="15" t="s">
        <v>17</v>
      </c>
      <c r="B146" s="16" t="s">
        <v>5</v>
      </c>
      <c r="C146" s="17">
        <v>-0.19937563699999999</v>
      </c>
      <c r="D146" s="19" t="str">
        <f>A146&amp;" - "&amp;B146</f>
        <v>University_of_Michigan_Consumer_Sentiment - Consumer_Price_Index_for_All_Urban_Consumers_All_Items_in_US_City_Average</v>
      </c>
      <c r="E146">
        <f t="shared" si="2"/>
        <v>145</v>
      </c>
    </row>
    <row r="147" spans="1:5" ht="16" x14ac:dyDescent="0.25">
      <c r="A147" s="12" t="s">
        <v>10</v>
      </c>
      <c r="B147" s="13" t="s">
        <v>8</v>
      </c>
      <c r="C147" s="14">
        <v>-0.199710531</v>
      </c>
      <c r="D147" s="19" t="str">
        <f>A147&amp;" - "&amp;B147</f>
        <v>Producer_Price_Index_by_Commodity_Farm_Products_Corn - Federal_Funds_Effective_Rate</v>
      </c>
      <c r="E147">
        <f t="shared" si="2"/>
        <v>146</v>
      </c>
    </row>
    <row r="148" spans="1:5" ht="16" x14ac:dyDescent="0.25">
      <c r="A148" s="12" t="s">
        <v>12</v>
      </c>
      <c r="B148" s="13" t="s">
        <v>8</v>
      </c>
      <c r="C148" s="14">
        <v>-0.20139890299999999</v>
      </c>
      <c r="D148" s="19" t="str">
        <f>A148&amp;" - "&amp;B148</f>
        <v>Producer_Price_Index_by_Commodity_Processed_Foods_and_Feeds_Chicken_and_Turkey_Feed_Supplements__________Concentrates_and_Premixes - Federal_Funds_Effective_Rate</v>
      </c>
      <c r="E148">
        <f t="shared" si="2"/>
        <v>147</v>
      </c>
    </row>
    <row r="149" spans="1:5" ht="16" x14ac:dyDescent="0.25">
      <c r="A149" s="12" t="s">
        <v>17</v>
      </c>
      <c r="B149" s="13" t="s">
        <v>2</v>
      </c>
      <c r="C149" s="14">
        <v>-0.20264354000000001</v>
      </c>
      <c r="D149" s="19" t="str">
        <f>A149&amp;" - "&amp;B149</f>
        <v>University_of_Michigan_Consumer_Sentiment - Average_Price_Chicken_Fresh_Whole_Cost_per_Pound4536_Grams_in_US_City_Average</v>
      </c>
      <c r="E149">
        <f t="shared" si="2"/>
        <v>148</v>
      </c>
    </row>
    <row r="150" spans="1:5" ht="16" x14ac:dyDescent="0.25">
      <c r="A150" s="12" t="s">
        <v>17</v>
      </c>
      <c r="B150" s="13" t="s">
        <v>7</v>
      </c>
      <c r="C150" s="14">
        <v>-0.218202389</v>
      </c>
      <c r="D150" s="19" t="str">
        <f>A150&amp;" - "&amp;B150</f>
        <v>University_of_Michigan_Consumer_Sentiment - Consumer_Price_Index_for_All_Urban_Consumers_Food_in_US_City_Average</v>
      </c>
      <c r="E150">
        <f t="shared" si="2"/>
        <v>149</v>
      </c>
    </row>
    <row r="151" spans="1:5" ht="16" x14ac:dyDescent="0.25">
      <c r="A151" s="12" t="s">
        <v>16</v>
      </c>
      <c r="B151" s="13" t="s">
        <v>3</v>
      </c>
      <c r="C151" s="14">
        <v>-0.26121279400000003</v>
      </c>
      <c r="D151" s="19" t="str">
        <f>A151&amp;" - "&amp;B151</f>
        <v>Unemployment_Rate - Average_Price_Eggs_Grade_A_Large_Cost_per_Dozen_in_US_City_Average</v>
      </c>
      <c r="E151">
        <f t="shared" si="2"/>
        <v>150</v>
      </c>
    </row>
    <row r="152" spans="1:5" ht="16" x14ac:dyDescent="0.25">
      <c r="A152" s="15" t="s">
        <v>11</v>
      </c>
      <c r="B152" s="16" t="s">
        <v>8</v>
      </c>
      <c r="C152" s="17">
        <v>-0.28226450400000003</v>
      </c>
      <c r="D152" s="19" t="str">
        <f>A152&amp;" - "&amp;B152</f>
        <v>Producer_Price_Index_by_Commodity_Farm_Products_Soybeans - Federal_Funds_Effective_Rate</v>
      </c>
      <c r="E152">
        <f t="shared" si="2"/>
        <v>151</v>
      </c>
    </row>
    <row r="153" spans="1:5" ht="16" x14ac:dyDescent="0.25">
      <c r="A153" s="15" t="s">
        <v>16</v>
      </c>
      <c r="B153" s="16" t="s">
        <v>1</v>
      </c>
      <c r="C153" s="17">
        <v>-0.32612304600000003</v>
      </c>
      <c r="D153" s="19" t="str">
        <f>A153&amp;" - "&amp;B153</f>
        <v>Unemployment_Rate - Average_Price_Chicken_Breast_Boneless_Cost_per_Pound4536_Grams_in_US_City_Average</v>
      </c>
      <c r="E153">
        <f t="shared" si="2"/>
        <v>152</v>
      </c>
    </row>
    <row r="154" spans="1:5" ht="16" x14ac:dyDescent="0.25">
      <c r="A154" s="15" t="s">
        <v>16</v>
      </c>
      <c r="B154" s="16" t="s">
        <v>2</v>
      </c>
      <c r="C154" s="17">
        <v>-0.33603715099999998</v>
      </c>
      <c r="D154" s="19" t="str">
        <f>A154&amp;" - "&amp;B154</f>
        <v>Unemployment_Rate - Average_Price_Chicken_Fresh_Whole_Cost_per_Pound4536_Grams_in_US_City_Average</v>
      </c>
      <c r="E154">
        <f t="shared" si="2"/>
        <v>153</v>
      </c>
    </row>
    <row r="155" spans="1:5" ht="16" x14ac:dyDescent="0.25">
      <c r="A155" s="15" t="s">
        <v>17</v>
      </c>
      <c r="B155" s="16" t="s">
        <v>16</v>
      </c>
      <c r="C155" s="17">
        <v>-0.339729583</v>
      </c>
      <c r="D155" s="19" t="str">
        <f>A155&amp;" - "&amp;B155</f>
        <v>University_of_Michigan_Consumer_Sentiment - Unemployment_Rate</v>
      </c>
      <c r="E155">
        <f t="shared" si="2"/>
        <v>154</v>
      </c>
    </row>
    <row r="156" spans="1:5" ht="16" x14ac:dyDescent="0.25">
      <c r="A156" s="15" t="s">
        <v>17</v>
      </c>
      <c r="B156" s="16" t="s">
        <v>3</v>
      </c>
      <c r="C156" s="17">
        <v>-0.39301572099999998</v>
      </c>
      <c r="D156" s="19" t="str">
        <f>A156&amp;" - "&amp;B156</f>
        <v>University_of_Michigan_Consumer_Sentiment - Average_Price_Eggs_Grade_A_Large_Cost_per_Dozen_in_US_City_Average</v>
      </c>
      <c r="E156">
        <f t="shared" si="2"/>
        <v>155</v>
      </c>
    </row>
    <row r="157" spans="1:5" ht="16" x14ac:dyDescent="0.25">
      <c r="A157" s="12" t="s">
        <v>16</v>
      </c>
      <c r="B157" s="13" t="s">
        <v>13</v>
      </c>
      <c r="C157" s="14">
        <v>-0.40822434200000002</v>
      </c>
      <c r="D157" s="19" t="str">
        <f>A157&amp;" - "&amp;B157</f>
        <v>Unemployment_Rate - Real_Disposable_Personal_Income</v>
      </c>
      <c r="E157">
        <f t="shared" si="2"/>
        <v>156</v>
      </c>
    </row>
    <row r="158" spans="1:5" ht="16" x14ac:dyDescent="0.25">
      <c r="A158" s="12" t="s">
        <v>17</v>
      </c>
      <c r="B158" s="13" t="s">
        <v>6</v>
      </c>
      <c r="C158" s="14">
        <v>-0.41786233099999998</v>
      </c>
      <c r="D158" s="19" t="str">
        <f>A158&amp;" - "&amp;B158</f>
        <v>University_of_Michigan_Consumer_Sentiment - Consumer_Price_Index_for_All_Urban_Consumers_Energy_Services_in_US_City_Average</v>
      </c>
      <c r="E158">
        <f t="shared" si="2"/>
        <v>157</v>
      </c>
    </row>
    <row r="159" spans="1:5" ht="16" x14ac:dyDescent="0.25">
      <c r="A159" s="15" t="s">
        <v>16</v>
      </c>
      <c r="B159" s="16" t="s">
        <v>7</v>
      </c>
      <c r="C159" s="17">
        <v>-0.42854584800000001</v>
      </c>
      <c r="D159" s="19" t="str">
        <f>A159&amp;" - "&amp;B159</f>
        <v>Unemployment_Rate - Consumer_Price_Index_for_All_Urban_Consumers_Food_in_US_City_Average</v>
      </c>
      <c r="E159">
        <f t="shared" si="2"/>
        <v>158</v>
      </c>
    </row>
    <row r="160" spans="1:5" ht="16" x14ac:dyDescent="0.25">
      <c r="A160" s="15" t="s">
        <v>16</v>
      </c>
      <c r="B160" s="16" t="s">
        <v>6</v>
      </c>
      <c r="C160" s="17">
        <v>-0.447612022</v>
      </c>
      <c r="D160" s="19" t="str">
        <f>A160&amp;" - "&amp;B160</f>
        <v>Unemployment_Rate - Consumer_Price_Index_for_All_Urban_Consumers_Energy_Services_in_US_City_Average</v>
      </c>
      <c r="E160">
        <f t="shared" si="2"/>
        <v>159</v>
      </c>
    </row>
    <row r="161" spans="1:5" ht="16" x14ac:dyDescent="0.25">
      <c r="A161" s="12" t="s">
        <v>16</v>
      </c>
      <c r="B161" s="13" t="s">
        <v>5</v>
      </c>
      <c r="C161" s="14">
        <v>-0.46600868699999998</v>
      </c>
      <c r="D161" s="19" t="str">
        <f>A161&amp;" - "&amp;B161</f>
        <v>Unemployment_Rate - Consumer_Price_Index_for_All_Urban_Consumers_All_Items_in_US_City_Average</v>
      </c>
      <c r="E161">
        <f t="shared" si="2"/>
        <v>160</v>
      </c>
    </row>
    <row r="162" spans="1:5" ht="16" x14ac:dyDescent="0.25">
      <c r="A162" s="15" t="s">
        <v>17</v>
      </c>
      <c r="B162" s="16" t="s">
        <v>12</v>
      </c>
      <c r="C162" s="17">
        <v>-0.48709780000000003</v>
      </c>
      <c r="D162" s="19" t="str">
        <f>A162&amp;" - "&amp;B162</f>
        <v>University_of_Michigan_Consumer_Sentiment - Producer_Price_Index_by_Commodity_Processed_Foods_and_Feeds_Chicken_and_Turkey_Feed_Supplements__________Concentrates_and_Premixes</v>
      </c>
      <c r="E162">
        <f t="shared" si="2"/>
        <v>161</v>
      </c>
    </row>
    <row r="163" spans="1:5" ht="16" x14ac:dyDescent="0.25">
      <c r="A163" s="15" t="s">
        <v>19</v>
      </c>
      <c r="B163" s="16" t="s">
        <v>17</v>
      </c>
      <c r="C163" s="17">
        <v>-0.52533537799999996</v>
      </c>
      <c r="D163" s="19" t="str">
        <f>A163&amp;" - "&amp;B163</f>
        <v>US_Regular_All_Formulations_Gas_Price - University_of_Michigan_Consumer_Sentiment</v>
      </c>
      <c r="E163">
        <f t="shared" si="2"/>
        <v>162</v>
      </c>
    </row>
    <row r="164" spans="1:5" ht="16" x14ac:dyDescent="0.25">
      <c r="A164" s="12" t="s">
        <v>16</v>
      </c>
      <c r="B164" s="13" t="s">
        <v>9</v>
      </c>
      <c r="C164" s="14">
        <v>-0.53312208100000003</v>
      </c>
      <c r="D164" s="19" t="str">
        <f>A164&amp;" - "&amp;B164</f>
        <v>Unemployment_Rate - Personal_Consumption_Expenditures</v>
      </c>
      <c r="E164">
        <f t="shared" si="2"/>
        <v>163</v>
      </c>
    </row>
    <row r="165" spans="1:5" ht="16" x14ac:dyDescent="0.25">
      <c r="A165" s="12" t="s">
        <v>17</v>
      </c>
      <c r="B165" s="13" t="s">
        <v>11</v>
      </c>
      <c r="C165" s="14">
        <v>-0.53378551500000004</v>
      </c>
      <c r="D165" s="19" t="str">
        <f>A165&amp;" - "&amp;B165</f>
        <v>University_of_Michigan_Consumer_Sentiment - Producer_Price_Index_by_Commodity_Farm_Products_Soybeans</v>
      </c>
      <c r="E165">
        <f t="shared" si="2"/>
        <v>164</v>
      </c>
    </row>
    <row r="166" spans="1:5" ht="16" x14ac:dyDescent="0.25">
      <c r="A166" s="12" t="s">
        <v>17</v>
      </c>
      <c r="B166" s="13" t="s">
        <v>10</v>
      </c>
      <c r="C166" s="14">
        <v>-0.54677941699999999</v>
      </c>
      <c r="D166" s="19" t="str">
        <f>A166&amp;" - "&amp;B166</f>
        <v>University_of_Michigan_Consumer_Sentiment - Producer_Price_Index_by_Commodity_Farm_Products_Corn</v>
      </c>
      <c r="E166">
        <f t="shared" si="2"/>
        <v>165</v>
      </c>
    </row>
    <row r="167" spans="1:5" ht="16" x14ac:dyDescent="0.25">
      <c r="A167" s="12" t="s">
        <v>18</v>
      </c>
      <c r="B167" s="13" t="s">
        <v>17</v>
      </c>
      <c r="C167" s="14">
        <v>-0.55144424599999997</v>
      </c>
      <c r="D167" s="19" t="str">
        <f>A167&amp;" - "&amp;B167</f>
        <v>US_Diesel_Sales_Price - University_of_Michigan_Consumer_Sentiment</v>
      </c>
      <c r="E167">
        <f t="shared" si="2"/>
        <v>166</v>
      </c>
    </row>
    <row r="168" spans="1:5" ht="16" x14ac:dyDescent="0.25">
      <c r="A168" s="15" t="s">
        <v>16</v>
      </c>
      <c r="B168" s="16" t="s">
        <v>15</v>
      </c>
      <c r="C168" s="17">
        <v>-0.56066499800000003</v>
      </c>
      <c r="D168" s="19" t="str">
        <f>A168&amp;" - "&amp;B168</f>
        <v>Unemployment_Rate - Retail_Sales_Retail_Trade_and_Food_Services</v>
      </c>
      <c r="E168">
        <f t="shared" si="2"/>
        <v>167</v>
      </c>
    </row>
    <row r="169" spans="1:5" ht="16" x14ac:dyDescent="0.25">
      <c r="A169" s="12" t="s">
        <v>17</v>
      </c>
      <c r="B169" s="13" t="s">
        <v>1</v>
      </c>
      <c r="C169" s="14">
        <v>-0.56867321100000001</v>
      </c>
      <c r="D169" s="19" t="str">
        <f>A169&amp;" - "&amp;B169</f>
        <v>University_of_Michigan_Consumer_Sentiment - Average_Price_Chicken_Breast_Boneless_Cost_per_Pound4536_Grams_in_US_City_Average</v>
      </c>
      <c r="E169">
        <f t="shared" si="2"/>
        <v>168</v>
      </c>
    </row>
    <row r="170" spans="1:5" ht="16" x14ac:dyDescent="0.25">
      <c r="A170" s="15" t="s">
        <v>16</v>
      </c>
      <c r="B170" s="16" t="s">
        <v>14</v>
      </c>
      <c r="C170" s="17">
        <v>-0.57087790800000004</v>
      </c>
      <c r="D170" s="19" t="str">
        <f>A170&amp;" - "&amp;B170</f>
        <v>Unemployment_Rate - Retail_Sales_Restaurants_and_Other_Eating_Places</v>
      </c>
      <c r="E170">
        <f t="shared" si="2"/>
        <v>169</v>
      </c>
    </row>
    <row r="171" spans="1:5" ht="16" x14ac:dyDescent="0.25">
      <c r="A171" s="12" t="s">
        <v>16</v>
      </c>
      <c r="B171" s="13" t="s">
        <v>8</v>
      </c>
      <c r="C171" s="14">
        <v>-0.57601878200000001</v>
      </c>
      <c r="D171" s="19" t="str">
        <f>A171&amp;" - "&amp;B171</f>
        <v>Unemployment_Rate - Federal_Funds_Effective_Rate</v>
      </c>
      <c r="E171">
        <f t="shared" si="2"/>
        <v>170</v>
      </c>
    </row>
    <row r="172" spans="1:5" ht="16" x14ac:dyDescent="0.25">
      <c r="A172" s="15" t="s">
        <v>17</v>
      </c>
      <c r="B172" s="16" t="s">
        <v>4</v>
      </c>
      <c r="C172" s="17">
        <v>-0.64237169100000002</v>
      </c>
      <c r="D172" s="19" t="str">
        <f>A172&amp;" - "&amp;B172</f>
        <v>University_of_Michigan_Consumer_Sentiment - Average_Price_Milk_Fresh_Whole_Fortified_Cost_per_Gallon38_Liters_in_US_City_Average</v>
      </c>
      <c r="E172">
        <f t="shared" si="2"/>
        <v>171</v>
      </c>
    </row>
  </sheetData>
  <autoFilter ref="A1:E172" xr:uid="{F3895B6F-5EC5-664C-987B-D9BBADF7E446}">
    <sortState xmlns:xlrd2="http://schemas.microsoft.com/office/spreadsheetml/2017/richdata2" ref="A2:E172">
      <sortCondition descending="1" ref="C1:C17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4FA18-98B9-D84A-B9CE-06D5BF991586}">
  <dimension ref="A1:G172"/>
  <sheetViews>
    <sheetView zoomScale="65" workbookViewId="0">
      <selection activeCell="G2" sqref="G2"/>
    </sheetView>
  </sheetViews>
  <sheetFormatPr baseColWidth="10" defaultRowHeight="15" x14ac:dyDescent="0.2"/>
  <cols>
    <col min="1" max="2" width="11.33203125" customWidth="1"/>
    <col min="3" max="3" width="12.33203125" customWidth="1"/>
    <col min="4" max="4" width="197" bestFit="1" customWidth="1"/>
    <col min="5" max="5" width="22.6640625" style="24" customWidth="1"/>
    <col min="6" max="6" width="25.33203125" customWidth="1"/>
    <col min="7" max="7" width="15.6640625" bestFit="1" customWidth="1"/>
  </cols>
  <sheetData>
    <row r="1" spans="1:7" x14ac:dyDescent="0.2">
      <c r="A1" s="6" t="s">
        <v>22</v>
      </c>
      <c r="B1" s="6" t="s">
        <v>21</v>
      </c>
      <c r="C1" s="11" t="s">
        <v>20</v>
      </c>
      <c r="D1" s="22" t="s">
        <v>28</v>
      </c>
      <c r="E1" s="20"/>
      <c r="F1" s="21" t="s">
        <v>30</v>
      </c>
      <c r="G1" s="21" t="s">
        <v>31</v>
      </c>
    </row>
    <row r="2" spans="1:7" ht="16" x14ac:dyDescent="0.25">
      <c r="A2" s="16" t="s">
        <v>7</v>
      </c>
      <c r="B2" s="16" t="s">
        <v>5</v>
      </c>
      <c r="C2" s="17">
        <v>0.995818341</v>
      </c>
      <c r="D2" s="19" t="s">
        <v>29</v>
      </c>
      <c r="E2" s="23"/>
      <c r="F2" t="s">
        <v>32</v>
      </c>
      <c r="G2">
        <f>_xlfn.XLOOKUP(F2, Table4[Correlation Pairs],Table4[Correlation], "Not Found")</f>
        <v>0.98455073000000004</v>
      </c>
    </row>
    <row r="3" spans="1:7" ht="16" x14ac:dyDescent="0.25">
      <c r="A3" s="16" t="s">
        <v>9</v>
      </c>
      <c r="B3" s="16" t="s">
        <v>5</v>
      </c>
      <c r="C3" s="17">
        <v>0.99368732000000004</v>
      </c>
      <c r="D3" s="19" t="s">
        <v>34</v>
      </c>
      <c r="E3" s="23"/>
    </row>
    <row r="4" spans="1:7" ht="16" x14ac:dyDescent="0.25">
      <c r="A4" s="16" t="s">
        <v>15</v>
      </c>
      <c r="B4" s="16" t="s">
        <v>9</v>
      </c>
      <c r="C4" s="17">
        <v>0.99267584099999995</v>
      </c>
      <c r="D4" s="19" t="s">
        <v>35</v>
      </c>
      <c r="E4" s="23"/>
    </row>
    <row r="5" spans="1:7" ht="16" x14ac:dyDescent="0.25">
      <c r="A5" s="13" t="s">
        <v>9</v>
      </c>
      <c r="B5" s="13" t="s">
        <v>7</v>
      </c>
      <c r="C5" s="14">
        <v>0.98455073000000004</v>
      </c>
      <c r="D5" s="19" t="s">
        <v>32</v>
      </c>
      <c r="E5" s="23"/>
    </row>
    <row r="6" spans="1:7" ht="16" x14ac:dyDescent="0.25">
      <c r="A6" s="13" t="s">
        <v>14</v>
      </c>
      <c r="B6" s="13" t="s">
        <v>9</v>
      </c>
      <c r="C6" s="14">
        <v>0.98291508400000005</v>
      </c>
      <c r="D6" s="19" t="s">
        <v>36</v>
      </c>
      <c r="E6" s="23"/>
    </row>
    <row r="7" spans="1:7" ht="16" x14ac:dyDescent="0.25">
      <c r="A7" s="16" t="s">
        <v>15</v>
      </c>
      <c r="B7" s="16" t="s">
        <v>5</v>
      </c>
      <c r="C7" s="17">
        <v>0.98180859099999995</v>
      </c>
      <c r="D7" s="19" t="s">
        <v>37</v>
      </c>
      <c r="E7" s="23"/>
    </row>
    <row r="8" spans="1:7" ht="16" x14ac:dyDescent="0.25">
      <c r="A8" s="13" t="s">
        <v>15</v>
      </c>
      <c r="B8" s="13" t="s">
        <v>14</v>
      </c>
      <c r="C8" s="14">
        <v>0.976626039</v>
      </c>
      <c r="D8" s="19" t="s">
        <v>38</v>
      </c>
      <c r="E8" s="23"/>
    </row>
    <row r="9" spans="1:7" ht="16" x14ac:dyDescent="0.25">
      <c r="A9" s="13" t="s">
        <v>14</v>
      </c>
      <c r="B9" s="13" t="s">
        <v>5</v>
      </c>
      <c r="C9" s="14">
        <v>0.97173762100000005</v>
      </c>
      <c r="D9" s="19" t="s">
        <v>39</v>
      </c>
      <c r="E9" s="23"/>
    </row>
    <row r="10" spans="1:7" ht="16" x14ac:dyDescent="0.25">
      <c r="A10" s="13" t="s">
        <v>15</v>
      </c>
      <c r="B10" s="13" t="s">
        <v>7</v>
      </c>
      <c r="C10" s="14">
        <v>0.96935964399999996</v>
      </c>
      <c r="D10" s="19" t="s">
        <v>40</v>
      </c>
      <c r="E10" s="23"/>
    </row>
    <row r="11" spans="1:7" ht="16" x14ac:dyDescent="0.25">
      <c r="A11" s="16" t="s">
        <v>14</v>
      </c>
      <c r="B11" s="16" t="s">
        <v>7</v>
      </c>
      <c r="C11" s="17">
        <v>0.96224240299999997</v>
      </c>
      <c r="D11" s="19" t="s">
        <v>33</v>
      </c>
      <c r="E11" s="23"/>
    </row>
    <row r="12" spans="1:7" ht="16" x14ac:dyDescent="0.25">
      <c r="A12" s="13" t="s">
        <v>7</v>
      </c>
      <c r="B12" s="13" t="s">
        <v>2</v>
      </c>
      <c r="C12" s="14">
        <v>0.96152926800000005</v>
      </c>
      <c r="D12" s="19" t="s">
        <v>41</v>
      </c>
      <c r="E12" s="23"/>
    </row>
    <row r="13" spans="1:7" ht="16" x14ac:dyDescent="0.25">
      <c r="A13" s="13" t="s">
        <v>5</v>
      </c>
      <c r="B13" s="13" t="s">
        <v>2</v>
      </c>
      <c r="C13" s="14">
        <v>0.94561400900000003</v>
      </c>
      <c r="D13" s="19" t="s">
        <v>42</v>
      </c>
      <c r="E13" s="23"/>
    </row>
    <row r="14" spans="1:7" ht="16" x14ac:dyDescent="0.25">
      <c r="A14" s="13" t="s">
        <v>19</v>
      </c>
      <c r="B14" s="13" t="s">
        <v>18</v>
      </c>
      <c r="C14" s="14">
        <v>0.93547929100000005</v>
      </c>
      <c r="D14" s="19" t="s">
        <v>43</v>
      </c>
      <c r="E14" s="23"/>
    </row>
    <row r="15" spans="1:7" ht="16" x14ac:dyDescent="0.25">
      <c r="A15" s="16" t="s">
        <v>13</v>
      </c>
      <c r="B15" s="16" t="s">
        <v>9</v>
      </c>
      <c r="C15" s="17">
        <v>0.93295322199999997</v>
      </c>
      <c r="D15" s="19" t="s">
        <v>44</v>
      </c>
      <c r="E15" s="23"/>
    </row>
    <row r="16" spans="1:7" ht="16" x14ac:dyDescent="0.25">
      <c r="A16" s="13" t="s">
        <v>6</v>
      </c>
      <c r="B16" s="13" t="s">
        <v>5</v>
      </c>
      <c r="C16" s="14">
        <v>0.93066506400000004</v>
      </c>
      <c r="D16" s="19" t="s">
        <v>45</v>
      </c>
      <c r="E16" s="23"/>
    </row>
    <row r="17" spans="1:5" ht="16" x14ac:dyDescent="0.25">
      <c r="A17" s="13" t="s">
        <v>7</v>
      </c>
      <c r="B17" s="13" t="s">
        <v>6</v>
      </c>
      <c r="C17" s="14">
        <v>0.93047618200000004</v>
      </c>
      <c r="D17" s="19" t="s">
        <v>46</v>
      </c>
      <c r="E17" s="23"/>
    </row>
    <row r="18" spans="1:5" ht="16" x14ac:dyDescent="0.25">
      <c r="A18" s="16" t="s">
        <v>15</v>
      </c>
      <c r="B18" s="16" t="s">
        <v>13</v>
      </c>
      <c r="C18" s="17">
        <v>0.92689101799999996</v>
      </c>
      <c r="D18" s="19" t="s">
        <v>47</v>
      </c>
      <c r="E18" s="23"/>
    </row>
    <row r="19" spans="1:5" ht="16" x14ac:dyDescent="0.25">
      <c r="A19" s="16" t="s">
        <v>13</v>
      </c>
      <c r="B19" s="16" t="s">
        <v>5</v>
      </c>
      <c r="C19" s="17">
        <v>0.92424630200000002</v>
      </c>
      <c r="D19" s="19" t="s">
        <v>48</v>
      </c>
      <c r="E19" s="23"/>
    </row>
    <row r="20" spans="1:5" ht="16" x14ac:dyDescent="0.25">
      <c r="A20" s="13" t="s">
        <v>9</v>
      </c>
      <c r="B20" s="13" t="s">
        <v>6</v>
      </c>
      <c r="C20" s="14">
        <v>0.91989927199999999</v>
      </c>
      <c r="D20" s="19" t="s">
        <v>49</v>
      </c>
      <c r="E20" s="23"/>
    </row>
    <row r="21" spans="1:5" ht="16" x14ac:dyDescent="0.25">
      <c r="A21" s="13" t="s">
        <v>9</v>
      </c>
      <c r="B21" s="13" t="s">
        <v>2</v>
      </c>
      <c r="C21" s="14">
        <v>0.91827181700000005</v>
      </c>
      <c r="D21" s="19" t="s">
        <v>50</v>
      </c>
      <c r="E21" s="23"/>
    </row>
    <row r="22" spans="1:5" ht="16" x14ac:dyDescent="0.25">
      <c r="A22" s="13" t="s">
        <v>13</v>
      </c>
      <c r="B22" s="13" t="s">
        <v>7</v>
      </c>
      <c r="C22" s="14">
        <v>0.91542589399999996</v>
      </c>
      <c r="D22" s="19" t="s">
        <v>51</v>
      </c>
      <c r="E22" s="23"/>
    </row>
    <row r="23" spans="1:5" ht="16" x14ac:dyDescent="0.25">
      <c r="A23" s="16" t="s">
        <v>14</v>
      </c>
      <c r="B23" s="16" t="s">
        <v>6</v>
      </c>
      <c r="C23" s="17">
        <v>0.91400032499999995</v>
      </c>
      <c r="D23" s="19" t="s">
        <v>52</v>
      </c>
      <c r="E23" s="23"/>
    </row>
    <row r="24" spans="1:5" ht="16" x14ac:dyDescent="0.25">
      <c r="A24" s="13" t="s">
        <v>15</v>
      </c>
      <c r="B24" s="13" t="s">
        <v>6</v>
      </c>
      <c r="C24" s="14">
        <v>0.91232318199999995</v>
      </c>
      <c r="D24" s="19" t="s">
        <v>53</v>
      </c>
      <c r="E24" s="23"/>
    </row>
    <row r="25" spans="1:5" ht="16" x14ac:dyDescent="0.25">
      <c r="A25" s="16" t="s">
        <v>12</v>
      </c>
      <c r="B25" s="16" t="s">
        <v>11</v>
      </c>
      <c r="C25" s="17">
        <v>0.90026441499999998</v>
      </c>
      <c r="D25" s="19" t="s">
        <v>54</v>
      </c>
      <c r="E25" s="23"/>
    </row>
    <row r="26" spans="1:5" ht="16" x14ac:dyDescent="0.25">
      <c r="A26" s="16" t="s">
        <v>14</v>
      </c>
      <c r="B26" s="16" t="s">
        <v>2</v>
      </c>
      <c r="C26" s="17">
        <v>0.89799747399999996</v>
      </c>
      <c r="D26" s="19" t="s">
        <v>55</v>
      </c>
      <c r="E26" s="23"/>
    </row>
    <row r="27" spans="1:5" ht="16" x14ac:dyDescent="0.25">
      <c r="A27" s="13" t="s">
        <v>15</v>
      </c>
      <c r="B27" s="13" t="s">
        <v>2</v>
      </c>
      <c r="C27" s="14">
        <v>0.89571852900000004</v>
      </c>
      <c r="D27" s="19" t="s">
        <v>56</v>
      </c>
      <c r="E27" s="23"/>
    </row>
    <row r="28" spans="1:5" ht="16" x14ac:dyDescent="0.25">
      <c r="A28" s="13" t="s">
        <v>14</v>
      </c>
      <c r="B28" s="13" t="s">
        <v>13</v>
      </c>
      <c r="C28" s="14">
        <v>0.89019970199999998</v>
      </c>
      <c r="D28" s="19" t="s">
        <v>57</v>
      </c>
      <c r="E28" s="23"/>
    </row>
    <row r="29" spans="1:5" ht="16" x14ac:dyDescent="0.25">
      <c r="A29" s="16" t="s">
        <v>6</v>
      </c>
      <c r="B29" s="16" t="s">
        <v>2</v>
      </c>
      <c r="C29" s="17">
        <v>0.87802830899999995</v>
      </c>
      <c r="D29" s="19" t="s">
        <v>58</v>
      </c>
      <c r="E29" s="23"/>
    </row>
    <row r="30" spans="1:5" ht="16" x14ac:dyDescent="0.25">
      <c r="A30" s="13" t="s">
        <v>11</v>
      </c>
      <c r="B30" s="13" t="s">
        <v>10</v>
      </c>
      <c r="C30" s="14">
        <v>0.87523736200000002</v>
      </c>
      <c r="D30" s="19" t="s">
        <v>59</v>
      </c>
      <c r="E30" s="23"/>
    </row>
    <row r="31" spans="1:5" ht="16" x14ac:dyDescent="0.25">
      <c r="A31" s="16" t="s">
        <v>12</v>
      </c>
      <c r="B31" s="16" t="s">
        <v>10</v>
      </c>
      <c r="C31" s="17">
        <v>0.87079795599999998</v>
      </c>
      <c r="D31" s="19" t="s">
        <v>60</v>
      </c>
      <c r="E31" s="23"/>
    </row>
    <row r="32" spans="1:5" ht="16" x14ac:dyDescent="0.25">
      <c r="A32" s="13" t="s">
        <v>13</v>
      </c>
      <c r="B32" s="13" t="s">
        <v>2</v>
      </c>
      <c r="C32" s="14">
        <v>0.84652382000000004</v>
      </c>
      <c r="D32" s="19" t="s">
        <v>61</v>
      </c>
      <c r="E32" s="23"/>
    </row>
    <row r="33" spans="1:5" ht="16" x14ac:dyDescent="0.25">
      <c r="A33" s="16" t="s">
        <v>6</v>
      </c>
      <c r="B33" s="16" t="s">
        <v>1</v>
      </c>
      <c r="C33" s="17">
        <v>0.84187201899999997</v>
      </c>
      <c r="D33" s="19" t="s">
        <v>62</v>
      </c>
      <c r="E33" s="23"/>
    </row>
    <row r="34" spans="1:5" ht="16" x14ac:dyDescent="0.25">
      <c r="A34" s="16" t="s">
        <v>4</v>
      </c>
      <c r="B34" s="16" t="s">
        <v>1</v>
      </c>
      <c r="C34" s="17">
        <v>0.80561452899999997</v>
      </c>
      <c r="D34" s="19" t="s">
        <v>63</v>
      </c>
      <c r="E34" s="23"/>
    </row>
    <row r="35" spans="1:5" ht="16" x14ac:dyDescent="0.25">
      <c r="A35" s="13" t="s">
        <v>18</v>
      </c>
      <c r="B35" s="13" t="s">
        <v>12</v>
      </c>
      <c r="C35" s="14">
        <v>0.78229312500000003</v>
      </c>
      <c r="D35" s="19" t="s">
        <v>64</v>
      </c>
      <c r="E35" s="23"/>
    </row>
    <row r="36" spans="1:5" ht="16" x14ac:dyDescent="0.25">
      <c r="A36" s="13" t="s">
        <v>13</v>
      </c>
      <c r="B36" s="13" t="s">
        <v>6</v>
      </c>
      <c r="C36" s="14">
        <v>0.77321032300000003</v>
      </c>
      <c r="D36" s="19" t="s">
        <v>65</v>
      </c>
      <c r="E36" s="23"/>
    </row>
    <row r="37" spans="1:5" ht="16" x14ac:dyDescent="0.25">
      <c r="A37" s="16" t="s">
        <v>18</v>
      </c>
      <c r="B37" s="16" t="s">
        <v>10</v>
      </c>
      <c r="C37" s="17">
        <v>0.75872503899999999</v>
      </c>
      <c r="D37" s="19" t="s">
        <v>66</v>
      </c>
      <c r="E37" s="23"/>
    </row>
    <row r="38" spans="1:5" ht="16" x14ac:dyDescent="0.25">
      <c r="A38" s="13" t="s">
        <v>1</v>
      </c>
      <c r="B38" s="13" t="s">
        <v>3</v>
      </c>
      <c r="C38" s="14">
        <v>0.74209372900000004</v>
      </c>
      <c r="D38" s="19" t="s">
        <v>67</v>
      </c>
      <c r="E38" s="23"/>
    </row>
    <row r="39" spans="1:5" ht="16" x14ac:dyDescent="0.25">
      <c r="A39" s="13" t="s">
        <v>6</v>
      </c>
      <c r="B39" s="13" t="s">
        <v>3</v>
      </c>
      <c r="C39" s="14">
        <v>0.74131938500000005</v>
      </c>
      <c r="D39" s="19" t="s">
        <v>68</v>
      </c>
      <c r="E39" s="23"/>
    </row>
    <row r="40" spans="1:5" ht="16" x14ac:dyDescent="0.25">
      <c r="A40" s="16" t="s">
        <v>18</v>
      </c>
      <c r="B40" s="16" t="s">
        <v>11</v>
      </c>
      <c r="C40" s="17">
        <v>0.74058606199999999</v>
      </c>
      <c r="D40" s="19" t="s">
        <v>69</v>
      </c>
      <c r="E40" s="23"/>
    </row>
    <row r="41" spans="1:5" ht="16" x14ac:dyDescent="0.25">
      <c r="A41" s="13" t="s">
        <v>19</v>
      </c>
      <c r="B41" s="13" t="s">
        <v>10</v>
      </c>
      <c r="C41" s="14">
        <v>0.74002958900000004</v>
      </c>
      <c r="D41" s="19" t="s">
        <v>70</v>
      </c>
      <c r="E41" s="23"/>
    </row>
    <row r="42" spans="1:5" ht="16" x14ac:dyDescent="0.25">
      <c r="A42" s="13" t="s">
        <v>19</v>
      </c>
      <c r="B42" s="13" t="s">
        <v>11</v>
      </c>
      <c r="C42" s="14">
        <v>0.73080751200000005</v>
      </c>
      <c r="D42" s="19" t="s">
        <v>71</v>
      </c>
      <c r="E42" s="23"/>
    </row>
    <row r="43" spans="1:5" ht="16" x14ac:dyDescent="0.25">
      <c r="A43" s="13" t="s">
        <v>18</v>
      </c>
      <c r="B43" s="13" t="s">
        <v>4</v>
      </c>
      <c r="C43" s="14">
        <v>0.71655983300000003</v>
      </c>
      <c r="D43" s="19" t="s">
        <v>72</v>
      </c>
      <c r="E43" s="23"/>
    </row>
    <row r="44" spans="1:5" ht="16" x14ac:dyDescent="0.25">
      <c r="A44" s="16" t="s">
        <v>19</v>
      </c>
      <c r="B44" s="16" t="s">
        <v>12</v>
      </c>
      <c r="C44" s="17">
        <v>0.71120256199999998</v>
      </c>
      <c r="D44" s="19" t="s">
        <v>73</v>
      </c>
      <c r="E44" s="23"/>
    </row>
    <row r="45" spans="1:5" ht="16" x14ac:dyDescent="0.25">
      <c r="A45" s="13" t="s">
        <v>6</v>
      </c>
      <c r="B45" s="13" t="s">
        <v>4</v>
      </c>
      <c r="C45" s="14">
        <v>0.70256608399999998</v>
      </c>
      <c r="D45" s="19" t="s">
        <v>74</v>
      </c>
      <c r="E45" s="23"/>
    </row>
    <row r="46" spans="1:5" ht="16" x14ac:dyDescent="0.25">
      <c r="A46" s="13" t="s">
        <v>4</v>
      </c>
      <c r="B46" s="13" t="s">
        <v>3</v>
      </c>
      <c r="C46" s="14">
        <v>0.69592891099999998</v>
      </c>
      <c r="D46" s="19" t="s">
        <v>75</v>
      </c>
      <c r="E46" s="23"/>
    </row>
    <row r="47" spans="1:5" ht="16" x14ac:dyDescent="0.25">
      <c r="A47" s="13" t="s">
        <v>7</v>
      </c>
      <c r="B47" s="13" t="s">
        <v>1</v>
      </c>
      <c r="C47" s="14">
        <v>0.68493674400000004</v>
      </c>
      <c r="D47" s="19" t="s">
        <v>76</v>
      </c>
      <c r="E47" s="23"/>
    </row>
    <row r="48" spans="1:5" ht="16" x14ac:dyDescent="0.25">
      <c r="A48" s="13" t="s">
        <v>15</v>
      </c>
      <c r="B48" s="13" t="s">
        <v>1</v>
      </c>
      <c r="C48" s="14">
        <v>0.67684243099999997</v>
      </c>
      <c r="D48" s="19" t="s">
        <v>77</v>
      </c>
      <c r="E48" s="23"/>
    </row>
    <row r="49" spans="1:5" ht="16" x14ac:dyDescent="0.25">
      <c r="A49" s="13" t="s">
        <v>5</v>
      </c>
      <c r="B49" s="13" t="s">
        <v>1</v>
      </c>
      <c r="C49" s="14">
        <v>0.67207541900000001</v>
      </c>
      <c r="D49" s="19" t="s">
        <v>78</v>
      </c>
      <c r="E49" s="23"/>
    </row>
    <row r="50" spans="1:5" ht="16" x14ac:dyDescent="0.25">
      <c r="A50" s="13" t="s">
        <v>2</v>
      </c>
      <c r="B50" s="13" t="s">
        <v>1</v>
      </c>
      <c r="C50" s="14">
        <v>0.67096561300000002</v>
      </c>
      <c r="D50" s="19" t="s">
        <v>79</v>
      </c>
      <c r="E50" s="23"/>
    </row>
    <row r="51" spans="1:5" ht="16" x14ac:dyDescent="0.25">
      <c r="A51" s="16" t="s">
        <v>14</v>
      </c>
      <c r="B51" s="16" t="s">
        <v>1</v>
      </c>
      <c r="C51" s="17">
        <v>0.66664087800000005</v>
      </c>
      <c r="D51" s="19" t="s">
        <v>80</v>
      </c>
      <c r="E51" s="23"/>
    </row>
    <row r="52" spans="1:5" ht="16" x14ac:dyDescent="0.25">
      <c r="A52" s="13" t="s">
        <v>9</v>
      </c>
      <c r="B52" s="13" t="s">
        <v>1</v>
      </c>
      <c r="C52" s="14">
        <v>0.65211393100000004</v>
      </c>
      <c r="D52" s="19" t="s">
        <v>81</v>
      </c>
      <c r="E52" s="23"/>
    </row>
    <row r="53" spans="1:5" ht="16" x14ac:dyDescent="0.25">
      <c r="A53" s="13" t="s">
        <v>12</v>
      </c>
      <c r="B53" s="13" t="s">
        <v>4</v>
      </c>
      <c r="C53" s="14">
        <v>0.65198428200000003</v>
      </c>
      <c r="D53" s="19" t="s">
        <v>82</v>
      </c>
      <c r="E53" s="23"/>
    </row>
    <row r="54" spans="1:5" ht="16" x14ac:dyDescent="0.25">
      <c r="A54" s="16" t="s">
        <v>12</v>
      </c>
      <c r="B54" s="16" t="s">
        <v>2</v>
      </c>
      <c r="C54" s="17">
        <v>0.65006964</v>
      </c>
      <c r="D54" s="19" t="s">
        <v>83</v>
      </c>
      <c r="E54" s="23"/>
    </row>
    <row r="55" spans="1:5" ht="16" x14ac:dyDescent="0.25">
      <c r="A55" s="16" t="s">
        <v>2</v>
      </c>
      <c r="B55" s="16" t="s">
        <v>3</v>
      </c>
      <c r="C55" s="17">
        <v>0.645275559</v>
      </c>
      <c r="D55" s="19" t="s">
        <v>84</v>
      </c>
      <c r="E55" s="23"/>
    </row>
    <row r="56" spans="1:5" ht="16" x14ac:dyDescent="0.25">
      <c r="A56" s="16" t="s">
        <v>7</v>
      </c>
      <c r="B56" s="16" t="s">
        <v>3</v>
      </c>
      <c r="C56" s="17">
        <v>0.64081364299999999</v>
      </c>
      <c r="D56" s="19" t="s">
        <v>85</v>
      </c>
      <c r="E56" s="23"/>
    </row>
    <row r="57" spans="1:5" ht="16" x14ac:dyDescent="0.25">
      <c r="A57" s="16" t="s">
        <v>19</v>
      </c>
      <c r="B57" s="16" t="s">
        <v>4</v>
      </c>
      <c r="C57" s="17">
        <v>0.63418148500000004</v>
      </c>
      <c r="D57" s="19" t="s">
        <v>86</v>
      </c>
      <c r="E57" s="23"/>
    </row>
    <row r="58" spans="1:5" ht="16" x14ac:dyDescent="0.25">
      <c r="A58" s="16" t="s">
        <v>18</v>
      </c>
      <c r="B58" s="16" t="s">
        <v>1</v>
      </c>
      <c r="C58" s="17">
        <v>0.62073815200000004</v>
      </c>
      <c r="D58" s="19" t="s">
        <v>87</v>
      </c>
      <c r="E58" s="23"/>
    </row>
    <row r="59" spans="1:5" ht="16" x14ac:dyDescent="0.25">
      <c r="A59" s="16" t="s">
        <v>12</v>
      </c>
      <c r="B59" s="16" t="s">
        <v>7</v>
      </c>
      <c r="C59" s="17">
        <v>0.61835128299999997</v>
      </c>
      <c r="D59" s="19" t="s">
        <v>88</v>
      </c>
      <c r="E59" s="23"/>
    </row>
    <row r="60" spans="1:5" ht="16" x14ac:dyDescent="0.25">
      <c r="A60" s="16" t="s">
        <v>5</v>
      </c>
      <c r="B60" s="16" t="s">
        <v>3</v>
      </c>
      <c r="C60" s="17">
        <v>0.61616607000000001</v>
      </c>
      <c r="D60" s="19" t="s">
        <v>89</v>
      </c>
      <c r="E60" s="23"/>
    </row>
    <row r="61" spans="1:5" ht="16" x14ac:dyDescent="0.25">
      <c r="A61" s="16" t="s">
        <v>11</v>
      </c>
      <c r="B61" s="16" t="s">
        <v>4</v>
      </c>
      <c r="C61" s="17">
        <v>0.60326782599999995</v>
      </c>
      <c r="D61" s="19" t="s">
        <v>90</v>
      </c>
      <c r="E61" s="23"/>
    </row>
    <row r="62" spans="1:5" ht="16" x14ac:dyDescent="0.25">
      <c r="A62" s="13" t="s">
        <v>12</v>
      </c>
      <c r="B62" s="13" t="s">
        <v>5</v>
      </c>
      <c r="C62" s="14">
        <v>0.60070325899999999</v>
      </c>
      <c r="D62" s="19" t="s">
        <v>91</v>
      </c>
      <c r="E62" s="23"/>
    </row>
    <row r="63" spans="1:5" ht="16" x14ac:dyDescent="0.25">
      <c r="A63" s="16" t="s">
        <v>12</v>
      </c>
      <c r="B63" s="16" t="s">
        <v>6</v>
      </c>
      <c r="C63" s="17">
        <v>0.59025980600000005</v>
      </c>
      <c r="D63" s="19" t="s">
        <v>92</v>
      </c>
      <c r="E63" s="23"/>
    </row>
    <row r="64" spans="1:5" ht="16" x14ac:dyDescent="0.25">
      <c r="A64" s="16" t="s">
        <v>9</v>
      </c>
      <c r="B64" s="16" t="s">
        <v>3</v>
      </c>
      <c r="C64" s="17">
        <v>0.58781558499999997</v>
      </c>
      <c r="D64" s="19" t="s">
        <v>93</v>
      </c>
      <c r="E64" s="23"/>
    </row>
    <row r="65" spans="1:5" ht="16" x14ac:dyDescent="0.25">
      <c r="A65" s="13" t="s">
        <v>14</v>
      </c>
      <c r="B65" s="13" t="s">
        <v>3</v>
      </c>
      <c r="C65" s="14">
        <v>0.58374119899999999</v>
      </c>
      <c r="D65" s="19" t="s">
        <v>94</v>
      </c>
      <c r="E65" s="23"/>
    </row>
    <row r="66" spans="1:5" ht="16" x14ac:dyDescent="0.25">
      <c r="A66" s="16" t="s">
        <v>15</v>
      </c>
      <c r="B66" s="16" t="s">
        <v>3</v>
      </c>
      <c r="C66" s="17">
        <v>0.57819416899999998</v>
      </c>
      <c r="D66" s="19" t="s">
        <v>95</v>
      </c>
      <c r="E66" s="23"/>
    </row>
    <row r="67" spans="1:5" ht="16" x14ac:dyDescent="0.25">
      <c r="A67" s="13" t="s">
        <v>10</v>
      </c>
      <c r="B67" s="13" t="s">
        <v>4</v>
      </c>
      <c r="C67" s="14">
        <v>0.56839800299999999</v>
      </c>
      <c r="D67" s="19" t="s">
        <v>96</v>
      </c>
      <c r="E67" s="23"/>
    </row>
    <row r="68" spans="1:5" ht="16" x14ac:dyDescent="0.25">
      <c r="A68" s="16" t="s">
        <v>12</v>
      </c>
      <c r="B68" s="16" t="s">
        <v>1</v>
      </c>
      <c r="C68" s="17">
        <v>0.56672533700000005</v>
      </c>
      <c r="D68" s="19" t="s">
        <v>97</v>
      </c>
      <c r="E68" s="23"/>
    </row>
    <row r="69" spans="1:5" ht="16" x14ac:dyDescent="0.25">
      <c r="A69" s="16" t="s">
        <v>18</v>
      </c>
      <c r="B69" s="16" t="s">
        <v>6</v>
      </c>
      <c r="C69" s="17">
        <v>0.55363314299999999</v>
      </c>
      <c r="D69" s="19" t="s">
        <v>98</v>
      </c>
      <c r="E69" s="23"/>
    </row>
    <row r="70" spans="1:5" ht="16" x14ac:dyDescent="0.25">
      <c r="A70" s="16" t="s">
        <v>7</v>
      </c>
      <c r="B70" s="16" t="s">
        <v>4</v>
      </c>
      <c r="C70" s="17">
        <v>0.55307086599999999</v>
      </c>
      <c r="D70" s="19" t="s">
        <v>99</v>
      </c>
      <c r="E70" s="23"/>
    </row>
    <row r="71" spans="1:5" ht="16" x14ac:dyDescent="0.25">
      <c r="A71" s="16" t="s">
        <v>15</v>
      </c>
      <c r="B71" s="16" t="s">
        <v>12</v>
      </c>
      <c r="C71" s="17">
        <v>0.54860160499999999</v>
      </c>
      <c r="D71" s="19" t="s">
        <v>100</v>
      </c>
      <c r="E71" s="23"/>
    </row>
    <row r="72" spans="1:5" ht="16" x14ac:dyDescent="0.25">
      <c r="A72" s="16" t="s">
        <v>4</v>
      </c>
      <c r="B72" s="16" t="s">
        <v>2</v>
      </c>
      <c r="C72" s="17">
        <v>0.54656646799999997</v>
      </c>
      <c r="D72" s="19" t="s">
        <v>101</v>
      </c>
      <c r="E72" s="23"/>
    </row>
    <row r="73" spans="1:5" ht="16" x14ac:dyDescent="0.25">
      <c r="A73" s="13" t="s">
        <v>12</v>
      </c>
      <c r="B73" s="13" t="s">
        <v>9</v>
      </c>
      <c r="C73" s="14">
        <v>0.54120248900000001</v>
      </c>
      <c r="D73" s="19" t="s">
        <v>102</v>
      </c>
      <c r="E73" s="23"/>
    </row>
    <row r="74" spans="1:5" ht="16" x14ac:dyDescent="0.25">
      <c r="A74" s="16" t="s">
        <v>5</v>
      </c>
      <c r="B74" s="16" t="s">
        <v>4</v>
      </c>
      <c r="C74" s="17">
        <v>0.53831151499999996</v>
      </c>
      <c r="D74" s="19" t="s">
        <v>103</v>
      </c>
      <c r="E74" s="23"/>
    </row>
    <row r="75" spans="1:5" ht="16" x14ac:dyDescent="0.25">
      <c r="A75" s="16" t="s">
        <v>15</v>
      </c>
      <c r="B75" s="16" t="s">
        <v>4</v>
      </c>
      <c r="C75" s="17">
        <v>0.52858790899999997</v>
      </c>
      <c r="D75" s="19" t="s">
        <v>104</v>
      </c>
      <c r="E75" s="23"/>
    </row>
    <row r="76" spans="1:5" ht="16" x14ac:dyDescent="0.25">
      <c r="A76" s="13" t="s">
        <v>14</v>
      </c>
      <c r="B76" s="13" t="s">
        <v>12</v>
      </c>
      <c r="C76" s="14">
        <v>0.527855034</v>
      </c>
      <c r="D76" s="19" t="s">
        <v>105</v>
      </c>
      <c r="E76" s="23"/>
    </row>
    <row r="77" spans="1:5" ht="16" x14ac:dyDescent="0.25">
      <c r="A77" s="13" t="s">
        <v>12</v>
      </c>
      <c r="B77" s="13" t="s">
        <v>3</v>
      </c>
      <c r="C77" s="14">
        <v>0.52342059100000005</v>
      </c>
      <c r="D77" s="19" t="s">
        <v>106</v>
      </c>
      <c r="E77" s="23"/>
    </row>
    <row r="78" spans="1:5" ht="16" x14ac:dyDescent="0.25">
      <c r="A78" s="13" t="s">
        <v>19</v>
      </c>
      <c r="B78" s="13" t="s">
        <v>1</v>
      </c>
      <c r="C78" s="14">
        <v>0.51627057600000004</v>
      </c>
      <c r="D78" s="19" t="s">
        <v>107</v>
      </c>
      <c r="E78" s="23"/>
    </row>
    <row r="79" spans="1:5" ht="16" x14ac:dyDescent="0.25">
      <c r="A79" s="16" t="s">
        <v>9</v>
      </c>
      <c r="B79" s="16" t="s">
        <v>4</v>
      </c>
      <c r="C79" s="17">
        <v>0.50228965699999994</v>
      </c>
      <c r="D79" s="19" t="s">
        <v>108</v>
      </c>
      <c r="E79" s="23"/>
    </row>
    <row r="80" spans="1:5" ht="16" x14ac:dyDescent="0.25">
      <c r="A80" s="13" t="s">
        <v>18</v>
      </c>
      <c r="B80" s="13" t="s">
        <v>3</v>
      </c>
      <c r="C80" s="14">
        <v>0.498955223</v>
      </c>
      <c r="D80" s="19" t="s">
        <v>109</v>
      </c>
      <c r="E80" s="23"/>
    </row>
    <row r="81" spans="1:5" ht="16" x14ac:dyDescent="0.25">
      <c r="A81" s="13" t="s">
        <v>14</v>
      </c>
      <c r="B81" s="13" t="s">
        <v>4</v>
      </c>
      <c r="C81" s="14">
        <v>0.49668289199999999</v>
      </c>
      <c r="D81" s="19" t="s">
        <v>110</v>
      </c>
      <c r="E81" s="23"/>
    </row>
    <row r="82" spans="1:5" ht="16" x14ac:dyDescent="0.25">
      <c r="A82" s="13" t="s">
        <v>11</v>
      </c>
      <c r="B82" s="13" t="s">
        <v>1</v>
      </c>
      <c r="C82" s="14">
        <v>0.45788331399999999</v>
      </c>
      <c r="D82" s="19" t="s">
        <v>111</v>
      </c>
      <c r="E82" s="23"/>
    </row>
    <row r="83" spans="1:5" ht="16" x14ac:dyDescent="0.25">
      <c r="A83" s="16" t="s">
        <v>13</v>
      </c>
      <c r="B83" s="16" t="s">
        <v>12</v>
      </c>
      <c r="C83" s="17">
        <v>0.44819383800000001</v>
      </c>
      <c r="D83" s="19" t="s">
        <v>112</v>
      </c>
      <c r="E83" s="23"/>
    </row>
    <row r="84" spans="1:5" ht="16" x14ac:dyDescent="0.25">
      <c r="A84" s="13" t="s">
        <v>13</v>
      </c>
      <c r="B84" s="13" t="s">
        <v>1</v>
      </c>
      <c r="C84" s="14">
        <v>0.447176254</v>
      </c>
      <c r="D84" s="19" t="s">
        <v>113</v>
      </c>
      <c r="E84" s="23"/>
    </row>
    <row r="85" spans="1:5" ht="16" x14ac:dyDescent="0.25">
      <c r="A85" s="13" t="s">
        <v>18</v>
      </c>
      <c r="B85" s="13" t="s">
        <v>5</v>
      </c>
      <c r="C85" s="14">
        <v>0.44066025199999997</v>
      </c>
      <c r="D85" s="19" t="s">
        <v>114</v>
      </c>
      <c r="E85" s="23"/>
    </row>
    <row r="86" spans="1:5" ht="16" x14ac:dyDescent="0.25">
      <c r="A86" s="16" t="s">
        <v>18</v>
      </c>
      <c r="B86" s="16" t="s">
        <v>2</v>
      </c>
      <c r="C86" s="17">
        <v>0.43941938899999999</v>
      </c>
      <c r="D86" s="19" t="s">
        <v>115</v>
      </c>
      <c r="E86" s="23"/>
    </row>
    <row r="87" spans="1:5" ht="16" x14ac:dyDescent="0.25">
      <c r="A87" s="16" t="s">
        <v>8</v>
      </c>
      <c r="B87" s="16" t="s">
        <v>1</v>
      </c>
      <c r="C87" s="17">
        <v>0.43710756299999998</v>
      </c>
      <c r="D87" s="19" t="s">
        <v>116</v>
      </c>
      <c r="E87" s="23"/>
    </row>
    <row r="88" spans="1:5" ht="16" x14ac:dyDescent="0.25">
      <c r="A88" s="16" t="s">
        <v>18</v>
      </c>
      <c r="B88" s="16" t="s">
        <v>7</v>
      </c>
      <c r="C88" s="17">
        <v>0.426831919</v>
      </c>
      <c r="D88" s="19" t="s">
        <v>117</v>
      </c>
      <c r="E88" s="23"/>
    </row>
    <row r="89" spans="1:5" ht="16" x14ac:dyDescent="0.25">
      <c r="A89" s="13" t="s">
        <v>11</v>
      </c>
      <c r="B89" s="13" t="s">
        <v>2</v>
      </c>
      <c r="C89" s="14">
        <v>0.42155991300000001</v>
      </c>
      <c r="D89" s="19" t="s">
        <v>118</v>
      </c>
      <c r="E89" s="23"/>
    </row>
    <row r="90" spans="1:5" ht="16" x14ac:dyDescent="0.25">
      <c r="A90" s="16" t="s">
        <v>18</v>
      </c>
      <c r="B90" s="16" t="s">
        <v>15</v>
      </c>
      <c r="C90" s="17">
        <v>0.41997964500000001</v>
      </c>
      <c r="D90" s="19" t="s">
        <v>119</v>
      </c>
      <c r="E90" s="23"/>
    </row>
    <row r="91" spans="1:5" ht="16" x14ac:dyDescent="0.25">
      <c r="A91" s="16" t="s">
        <v>8</v>
      </c>
      <c r="B91" s="16" t="s">
        <v>6</v>
      </c>
      <c r="C91" s="17">
        <v>0.41435639600000002</v>
      </c>
      <c r="D91" s="19" t="s">
        <v>120</v>
      </c>
      <c r="E91" s="23"/>
    </row>
    <row r="92" spans="1:5" ht="16" x14ac:dyDescent="0.25">
      <c r="A92" s="16" t="s">
        <v>13</v>
      </c>
      <c r="B92" s="16" t="s">
        <v>3</v>
      </c>
      <c r="C92" s="17">
        <v>0.41214548400000001</v>
      </c>
      <c r="D92" s="19" t="s">
        <v>121</v>
      </c>
      <c r="E92" s="23"/>
    </row>
    <row r="93" spans="1:5" ht="16" x14ac:dyDescent="0.25">
      <c r="A93" s="13" t="s">
        <v>19</v>
      </c>
      <c r="B93" s="13" t="s">
        <v>6</v>
      </c>
      <c r="C93" s="14">
        <v>0.410204126</v>
      </c>
      <c r="D93" s="19" t="s">
        <v>122</v>
      </c>
      <c r="E93" s="23"/>
    </row>
    <row r="94" spans="1:5" ht="16" x14ac:dyDescent="0.25">
      <c r="A94" s="16" t="s">
        <v>10</v>
      </c>
      <c r="B94" s="16" t="s">
        <v>1</v>
      </c>
      <c r="C94" s="17">
        <v>0.405409348</v>
      </c>
      <c r="D94" s="19" t="s">
        <v>123</v>
      </c>
      <c r="E94" s="23"/>
    </row>
    <row r="95" spans="1:5" ht="16" x14ac:dyDescent="0.25">
      <c r="A95" s="16" t="s">
        <v>18</v>
      </c>
      <c r="B95" s="16" t="s">
        <v>14</v>
      </c>
      <c r="C95" s="17">
        <v>0.39896640700000002</v>
      </c>
      <c r="D95" s="19" t="s">
        <v>124</v>
      </c>
      <c r="E95" s="23"/>
    </row>
    <row r="96" spans="1:5" ht="16" x14ac:dyDescent="0.25">
      <c r="A96" s="13" t="s">
        <v>18</v>
      </c>
      <c r="B96" s="13" t="s">
        <v>9</v>
      </c>
      <c r="C96" s="14">
        <v>0.39140945700000002</v>
      </c>
      <c r="D96" s="19" t="s">
        <v>125</v>
      </c>
      <c r="E96" s="23"/>
    </row>
    <row r="97" spans="1:5" ht="16" x14ac:dyDescent="0.25">
      <c r="A97" s="13" t="s">
        <v>11</v>
      </c>
      <c r="B97" s="13" t="s">
        <v>6</v>
      </c>
      <c r="C97" s="14">
        <v>0.39075432599999999</v>
      </c>
      <c r="D97" s="19" t="s">
        <v>126</v>
      </c>
      <c r="E97" s="23"/>
    </row>
    <row r="98" spans="1:5" ht="16" x14ac:dyDescent="0.25">
      <c r="A98" s="13" t="s">
        <v>11</v>
      </c>
      <c r="B98" s="13" t="s">
        <v>7</v>
      </c>
      <c r="C98" s="14">
        <v>0.38323118499999997</v>
      </c>
      <c r="D98" s="19" t="s">
        <v>127</v>
      </c>
      <c r="E98" s="23"/>
    </row>
    <row r="99" spans="1:5" ht="16" x14ac:dyDescent="0.25">
      <c r="A99" s="16" t="s">
        <v>11</v>
      </c>
      <c r="B99" s="16" t="s">
        <v>5</v>
      </c>
      <c r="C99" s="17">
        <v>0.370783535</v>
      </c>
      <c r="D99" s="19" t="s">
        <v>128</v>
      </c>
      <c r="E99" s="23"/>
    </row>
    <row r="100" spans="1:5" ht="16" x14ac:dyDescent="0.25">
      <c r="A100" s="16" t="s">
        <v>19</v>
      </c>
      <c r="B100" s="16" t="s">
        <v>3</v>
      </c>
      <c r="C100" s="17">
        <v>0.367513064</v>
      </c>
      <c r="D100" s="19" t="s">
        <v>129</v>
      </c>
      <c r="E100" s="23"/>
    </row>
    <row r="101" spans="1:5" ht="16" x14ac:dyDescent="0.25">
      <c r="A101" s="16" t="s">
        <v>11</v>
      </c>
      <c r="B101" s="16" t="s">
        <v>3</v>
      </c>
      <c r="C101" s="17">
        <v>0.36131901900000002</v>
      </c>
      <c r="D101" s="19" t="s">
        <v>130</v>
      </c>
      <c r="E101" s="23"/>
    </row>
    <row r="102" spans="1:5" ht="16" x14ac:dyDescent="0.25">
      <c r="A102" s="13" t="s">
        <v>14</v>
      </c>
      <c r="B102" s="13" t="s">
        <v>8</v>
      </c>
      <c r="C102" s="14">
        <v>0.35499451799999998</v>
      </c>
      <c r="D102" s="19" t="s">
        <v>131</v>
      </c>
      <c r="E102" s="23"/>
    </row>
    <row r="103" spans="1:5" ht="16" x14ac:dyDescent="0.25">
      <c r="A103" s="13" t="s">
        <v>10</v>
      </c>
      <c r="B103" s="13" t="s">
        <v>3</v>
      </c>
      <c r="C103" s="14">
        <v>0.35179983199999998</v>
      </c>
      <c r="D103" s="19" t="s">
        <v>132</v>
      </c>
      <c r="E103" s="23"/>
    </row>
    <row r="104" spans="1:5" ht="16" x14ac:dyDescent="0.25">
      <c r="A104" s="16" t="s">
        <v>15</v>
      </c>
      <c r="B104" s="16" t="s">
        <v>8</v>
      </c>
      <c r="C104" s="17">
        <v>0.33676245500000002</v>
      </c>
      <c r="D104" s="19" t="s">
        <v>133</v>
      </c>
      <c r="E104" s="23"/>
    </row>
    <row r="105" spans="1:5" ht="16" x14ac:dyDescent="0.25">
      <c r="A105" s="16" t="s">
        <v>10</v>
      </c>
      <c r="B105" s="16" t="s">
        <v>6</v>
      </c>
      <c r="C105" s="17">
        <v>0.33492182100000001</v>
      </c>
      <c r="D105" s="19" t="s">
        <v>134</v>
      </c>
      <c r="E105" s="23"/>
    </row>
    <row r="106" spans="1:5" ht="16" x14ac:dyDescent="0.25">
      <c r="A106" s="13" t="s">
        <v>15</v>
      </c>
      <c r="B106" s="13" t="s">
        <v>11</v>
      </c>
      <c r="C106" s="14">
        <v>0.33352963800000002</v>
      </c>
      <c r="D106" s="19" t="s">
        <v>135</v>
      </c>
      <c r="E106" s="23"/>
    </row>
    <row r="107" spans="1:5" ht="16" x14ac:dyDescent="0.25">
      <c r="A107" s="16" t="s">
        <v>13</v>
      </c>
      <c r="B107" s="16" t="s">
        <v>4</v>
      </c>
      <c r="C107" s="17">
        <v>0.324751183</v>
      </c>
      <c r="D107" s="19" t="s">
        <v>136</v>
      </c>
      <c r="E107" s="23"/>
    </row>
    <row r="108" spans="1:5" ht="16" x14ac:dyDescent="0.25">
      <c r="A108" s="16" t="s">
        <v>9</v>
      </c>
      <c r="B108" s="16" t="s">
        <v>8</v>
      </c>
      <c r="C108" s="17">
        <v>0.31687858899999999</v>
      </c>
      <c r="D108" s="19" t="s">
        <v>137</v>
      </c>
      <c r="E108" s="23"/>
    </row>
    <row r="109" spans="1:5" ht="16" x14ac:dyDescent="0.25">
      <c r="A109" s="16" t="s">
        <v>10</v>
      </c>
      <c r="B109" s="16" t="s">
        <v>7</v>
      </c>
      <c r="C109" s="17">
        <v>0.31431543899999997</v>
      </c>
      <c r="D109" s="19" t="s">
        <v>138</v>
      </c>
      <c r="E109" s="23"/>
    </row>
    <row r="110" spans="1:5" ht="16" x14ac:dyDescent="0.25">
      <c r="A110" s="16" t="s">
        <v>11</v>
      </c>
      <c r="B110" s="16" t="s">
        <v>9</v>
      </c>
      <c r="C110" s="17">
        <v>0.31236544599999999</v>
      </c>
      <c r="D110" s="19" t="s">
        <v>139</v>
      </c>
      <c r="E110" s="23"/>
    </row>
    <row r="111" spans="1:5" ht="16" x14ac:dyDescent="0.25">
      <c r="A111" s="13" t="s">
        <v>10</v>
      </c>
      <c r="B111" s="13" t="s">
        <v>5</v>
      </c>
      <c r="C111" s="14">
        <v>0.30997823200000002</v>
      </c>
      <c r="D111" s="19" t="s">
        <v>140</v>
      </c>
      <c r="E111" s="23"/>
    </row>
    <row r="112" spans="1:5" ht="16" x14ac:dyDescent="0.25">
      <c r="A112" s="16" t="s">
        <v>10</v>
      </c>
      <c r="B112" s="16" t="s">
        <v>2</v>
      </c>
      <c r="C112" s="17">
        <v>0.30839266900000001</v>
      </c>
      <c r="D112" s="19" t="s">
        <v>141</v>
      </c>
      <c r="E112" s="23"/>
    </row>
    <row r="113" spans="1:5" ht="16" x14ac:dyDescent="0.25">
      <c r="A113" s="16" t="s">
        <v>19</v>
      </c>
      <c r="B113" s="16" t="s">
        <v>5</v>
      </c>
      <c r="C113" s="17">
        <v>0.30343725799999999</v>
      </c>
      <c r="D113" s="19" t="s">
        <v>142</v>
      </c>
      <c r="E113" s="23"/>
    </row>
    <row r="114" spans="1:5" ht="16" x14ac:dyDescent="0.25">
      <c r="A114" s="16" t="s">
        <v>14</v>
      </c>
      <c r="B114" s="16" t="s">
        <v>11</v>
      </c>
      <c r="C114" s="17">
        <v>0.30125955700000001</v>
      </c>
      <c r="D114" s="19" t="s">
        <v>143</v>
      </c>
      <c r="E114" s="23"/>
    </row>
    <row r="115" spans="1:5" ht="16" x14ac:dyDescent="0.25">
      <c r="A115" s="13" t="s">
        <v>8</v>
      </c>
      <c r="B115" s="13" t="s">
        <v>3</v>
      </c>
      <c r="C115" s="14">
        <v>0.29846032099999997</v>
      </c>
      <c r="D115" s="19" t="s">
        <v>144</v>
      </c>
      <c r="E115" s="23"/>
    </row>
    <row r="116" spans="1:5" ht="16" x14ac:dyDescent="0.25">
      <c r="A116" s="13" t="s">
        <v>19</v>
      </c>
      <c r="B116" s="13" t="s">
        <v>2</v>
      </c>
      <c r="C116" s="14">
        <v>0.298094474</v>
      </c>
      <c r="D116" s="19" t="s">
        <v>145</v>
      </c>
      <c r="E116" s="23"/>
    </row>
    <row r="117" spans="1:5" ht="16" x14ac:dyDescent="0.25">
      <c r="A117" s="13" t="s">
        <v>19</v>
      </c>
      <c r="B117" s="13" t="s">
        <v>15</v>
      </c>
      <c r="C117" s="14">
        <v>0.28976552799999999</v>
      </c>
      <c r="D117" s="19" t="s">
        <v>146</v>
      </c>
      <c r="E117" s="23"/>
    </row>
    <row r="118" spans="1:5" ht="16" x14ac:dyDescent="0.25">
      <c r="A118" s="13" t="s">
        <v>15</v>
      </c>
      <c r="B118" s="13" t="s">
        <v>10</v>
      </c>
      <c r="C118" s="14">
        <v>0.28956533800000001</v>
      </c>
      <c r="D118" s="19" t="s">
        <v>147</v>
      </c>
      <c r="E118" s="23"/>
    </row>
    <row r="119" spans="1:5" ht="16" x14ac:dyDescent="0.25">
      <c r="A119" s="13" t="s">
        <v>19</v>
      </c>
      <c r="B119" s="13" t="s">
        <v>14</v>
      </c>
      <c r="C119" s="14">
        <v>0.28739624800000002</v>
      </c>
      <c r="D119" s="19" t="s">
        <v>148</v>
      </c>
      <c r="E119" s="23"/>
    </row>
    <row r="120" spans="1:5" ht="16" x14ac:dyDescent="0.25">
      <c r="A120" s="13" t="s">
        <v>19</v>
      </c>
      <c r="B120" s="13" t="s">
        <v>7</v>
      </c>
      <c r="C120" s="14">
        <v>0.28396193400000003</v>
      </c>
      <c r="D120" s="19" t="s">
        <v>149</v>
      </c>
      <c r="E120" s="23"/>
    </row>
    <row r="121" spans="1:5" ht="16" x14ac:dyDescent="0.25">
      <c r="A121" s="13" t="s">
        <v>8</v>
      </c>
      <c r="B121" s="13" t="s">
        <v>5</v>
      </c>
      <c r="C121" s="14">
        <v>0.27622296800000001</v>
      </c>
      <c r="D121" s="19" t="s">
        <v>150</v>
      </c>
      <c r="E121" s="23"/>
    </row>
    <row r="122" spans="1:5" ht="16" x14ac:dyDescent="0.25">
      <c r="A122" s="13" t="s">
        <v>10</v>
      </c>
      <c r="B122" s="13" t="s">
        <v>9</v>
      </c>
      <c r="C122" s="14">
        <v>0.260790085</v>
      </c>
      <c r="D122" s="19" t="s">
        <v>151</v>
      </c>
      <c r="E122" s="23"/>
    </row>
    <row r="123" spans="1:5" ht="16" x14ac:dyDescent="0.25">
      <c r="A123" s="16" t="s">
        <v>19</v>
      </c>
      <c r="B123" s="16" t="s">
        <v>9</v>
      </c>
      <c r="C123" s="17">
        <v>0.25628356499999999</v>
      </c>
      <c r="D123" s="19" t="s">
        <v>152</v>
      </c>
      <c r="E123" s="23"/>
    </row>
    <row r="124" spans="1:5" ht="16" x14ac:dyDescent="0.25">
      <c r="A124" s="16" t="s">
        <v>14</v>
      </c>
      <c r="B124" s="16" t="s">
        <v>10</v>
      </c>
      <c r="C124" s="17">
        <v>0.25210090400000001</v>
      </c>
      <c r="D124" s="19" t="s">
        <v>153</v>
      </c>
      <c r="E124" s="23"/>
    </row>
    <row r="125" spans="1:5" ht="16" x14ac:dyDescent="0.25">
      <c r="A125" s="13" t="s">
        <v>8</v>
      </c>
      <c r="B125" s="13" t="s">
        <v>4</v>
      </c>
      <c r="C125" s="14">
        <v>0.25134441899999999</v>
      </c>
      <c r="D125" s="19" t="s">
        <v>154</v>
      </c>
      <c r="E125" s="23"/>
    </row>
    <row r="126" spans="1:5" ht="16" x14ac:dyDescent="0.25">
      <c r="A126" s="16" t="s">
        <v>8</v>
      </c>
      <c r="B126" s="16" t="s">
        <v>7</v>
      </c>
      <c r="C126" s="17">
        <v>0.24086591800000001</v>
      </c>
      <c r="D126" s="19" t="s">
        <v>155</v>
      </c>
      <c r="E126" s="23"/>
    </row>
    <row r="127" spans="1:5" ht="16" x14ac:dyDescent="0.25">
      <c r="A127" s="13" t="s">
        <v>13</v>
      </c>
      <c r="B127" s="13" t="s">
        <v>11</v>
      </c>
      <c r="C127" s="14">
        <v>0.232883439</v>
      </c>
      <c r="D127" s="19" t="s">
        <v>156</v>
      </c>
      <c r="E127" s="23"/>
    </row>
    <row r="128" spans="1:5" ht="16" x14ac:dyDescent="0.25">
      <c r="A128" s="13" t="s">
        <v>18</v>
      </c>
      <c r="B128" s="13" t="s">
        <v>13</v>
      </c>
      <c r="C128" s="14">
        <v>0.211618003</v>
      </c>
      <c r="D128" s="19" t="s">
        <v>157</v>
      </c>
      <c r="E128" s="23"/>
    </row>
    <row r="129" spans="1:5" ht="16" x14ac:dyDescent="0.25">
      <c r="A129" s="13" t="s">
        <v>13</v>
      </c>
      <c r="B129" s="13" t="s">
        <v>10</v>
      </c>
      <c r="C129" s="14">
        <v>0.17345777900000001</v>
      </c>
      <c r="D129" s="19" t="s">
        <v>158</v>
      </c>
      <c r="E129" s="23"/>
    </row>
    <row r="130" spans="1:5" ht="16" x14ac:dyDescent="0.25">
      <c r="A130" s="16" t="s">
        <v>13</v>
      </c>
      <c r="B130" s="16" t="s">
        <v>8</v>
      </c>
      <c r="C130" s="17">
        <v>0.16982841400000001</v>
      </c>
      <c r="D130" s="19" t="s">
        <v>159</v>
      </c>
      <c r="E130" s="23"/>
    </row>
    <row r="131" spans="1:5" ht="16" x14ac:dyDescent="0.25">
      <c r="A131" s="16" t="s">
        <v>8</v>
      </c>
      <c r="B131" s="16" t="s">
        <v>2</v>
      </c>
      <c r="C131" s="17">
        <v>0.150677476</v>
      </c>
      <c r="D131" s="19" t="s">
        <v>160</v>
      </c>
      <c r="E131" s="23"/>
    </row>
    <row r="132" spans="1:5" ht="16" x14ac:dyDescent="0.25">
      <c r="A132" s="16" t="s">
        <v>16</v>
      </c>
      <c r="B132" s="16" t="s">
        <v>11</v>
      </c>
      <c r="C132" s="17">
        <v>0.135431262</v>
      </c>
      <c r="D132" s="19" t="s">
        <v>161</v>
      </c>
      <c r="E132" s="23"/>
    </row>
    <row r="133" spans="1:5" ht="16" x14ac:dyDescent="0.25">
      <c r="A133" s="13" t="s">
        <v>18</v>
      </c>
      <c r="B133" s="13" t="s">
        <v>8</v>
      </c>
      <c r="C133" s="14">
        <v>0.13022499500000001</v>
      </c>
      <c r="D133" s="19" t="s">
        <v>162</v>
      </c>
      <c r="E133" s="23"/>
    </row>
    <row r="134" spans="1:5" ht="16" x14ac:dyDescent="0.25">
      <c r="A134" s="16" t="s">
        <v>16</v>
      </c>
      <c r="B134" s="16" t="s">
        <v>10</v>
      </c>
      <c r="C134" s="17">
        <v>0.114778964</v>
      </c>
      <c r="D134" s="19" t="s">
        <v>163</v>
      </c>
      <c r="E134" s="23"/>
    </row>
    <row r="135" spans="1:5" ht="16" x14ac:dyDescent="0.25">
      <c r="A135" s="16" t="s">
        <v>19</v>
      </c>
      <c r="B135" s="16" t="s">
        <v>8</v>
      </c>
      <c r="C135" s="17">
        <v>0.106983177</v>
      </c>
      <c r="D135" s="19" t="s">
        <v>164</v>
      </c>
      <c r="E135" s="23"/>
    </row>
    <row r="136" spans="1:5" ht="16" x14ac:dyDescent="0.25">
      <c r="A136" s="16" t="s">
        <v>19</v>
      </c>
      <c r="B136" s="16" t="s">
        <v>13</v>
      </c>
      <c r="C136" s="17">
        <v>7.0874063000000001E-2</v>
      </c>
      <c r="D136" s="19" t="s">
        <v>165</v>
      </c>
      <c r="E136" s="23"/>
    </row>
    <row r="137" spans="1:5" ht="16" x14ac:dyDescent="0.25">
      <c r="A137" s="16" t="s">
        <v>17</v>
      </c>
      <c r="B137" s="16" t="s">
        <v>8</v>
      </c>
      <c r="C137" s="17">
        <v>-2.0199102E-2</v>
      </c>
      <c r="D137" s="19" t="s">
        <v>166</v>
      </c>
      <c r="E137" s="23"/>
    </row>
    <row r="138" spans="1:5" ht="16" x14ac:dyDescent="0.25">
      <c r="A138" s="13" t="s">
        <v>16</v>
      </c>
      <c r="B138" s="13" t="s">
        <v>12</v>
      </c>
      <c r="C138" s="14">
        <v>-2.2670682000000001E-2</v>
      </c>
      <c r="D138" s="19" t="s">
        <v>167</v>
      </c>
      <c r="E138" s="23"/>
    </row>
    <row r="139" spans="1:5" ht="16" x14ac:dyDescent="0.25">
      <c r="A139" s="16" t="s">
        <v>17</v>
      </c>
      <c r="B139" s="16" t="s">
        <v>13</v>
      </c>
      <c r="C139" s="17">
        <v>-2.5310794000000001E-2</v>
      </c>
      <c r="D139" s="19" t="s">
        <v>168</v>
      </c>
      <c r="E139" s="23"/>
    </row>
    <row r="140" spans="1:5" ht="16" x14ac:dyDescent="0.25">
      <c r="A140" s="16" t="s">
        <v>19</v>
      </c>
      <c r="B140" s="16" t="s">
        <v>16</v>
      </c>
      <c r="C140" s="17">
        <v>-5.993333E-2</v>
      </c>
      <c r="D140" s="19" t="s">
        <v>169</v>
      </c>
      <c r="E140" s="23"/>
    </row>
    <row r="141" spans="1:5" ht="16" x14ac:dyDescent="0.25">
      <c r="A141" s="13" t="s">
        <v>17</v>
      </c>
      <c r="B141" s="13" t="s">
        <v>14</v>
      </c>
      <c r="C141" s="14">
        <v>-0.136154094</v>
      </c>
      <c r="D141" s="19" t="s">
        <v>170</v>
      </c>
      <c r="E141" s="23"/>
    </row>
    <row r="142" spans="1:5" ht="16" x14ac:dyDescent="0.25">
      <c r="A142" s="16" t="s">
        <v>17</v>
      </c>
      <c r="B142" s="16" t="s">
        <v>9</v>
      </c>
      <c r="C142" s="17">
        <v>-0.14695154199999999</v>
      </c>
      <c r="D142" s="19" t="s">
        <v>171</v>
      </c>
      <c r="E142" s="23"/>
    </row>
    <row r="143" spans="1:5" ht="16" x14ac:dyDescent="0.25">
      <c r="A143" s="13" t="s">
        <v>18</v>
      </c>
      <c r="B143" s="13" t="s">
        <v>16</v>
      </c>
      <c r="C143" s="14">
        <v>-0.14903408200000001</v>
      </c>
      <c r="D143" s="19" t="s">
        <v>172</v>
      </c>
      <c r="E143" s="23"/>
    </row>
    <row r="144" spans="1:5" ht="16" x14ac:dyDescent="0.25">
      <c r="A144" s="13" t="s">
        <v>17</v>
      </c>
      <c r="B144" s="13" t="s">
        <v>15</v>
      </c>
      <c r="C144" s="14">
        <v>-0.15376958399999999</v>
      </c>
      <c r="D144" s="19" t="s">
        <v>173</v>
      </c>
      <c r="E144" s="23"/>
    </row>
    <row r="145" spans="1:5" ht="16" x14ac:dyDescent="0.25">
      <c r="A145" s="13" t="s">
        <v>16</v>
      </c>
      <c r="B145" s="13" t="s">
        <v>4</v>
      </c>
      <c r="C145" s="14">
        <v>-0.184231229</v>
      </c>
      <c r="D145" s="19" t="s">
        <v>174</v>
      </c>
      <c r="E145" s="23"/>
    </row>
    <row r="146" spans="1:5" ht="16" x14ac:dyDescent="0.25">
      <c r="A146" s="16" t="s">
        <v>17</v>
      </c>
      <c r="B146" s="16" t="s">
        <v>5</v>
      </c>
      <c r="C146" s="17">
        <v>-0.19937563699999999</v>
      </c>
      <c r="D146" s="19" t="s">
        <v>175</v>
      </c>
      <c r="E146" s="23"/>
    </row>
    <row r="147" spans="1:5" ht="16" x14ac:dyDescent="0.25">
      <c r="A147" s="13" t="s">
        <v>10</v>
      </c>
      <c r="B147" s="13" t="s">
        <v>8</v>
      </c>
      <c r="C147" s="14">
        <v>-0.199710531</v>
      </c>
      <c r="D147" s="19" t="s">
        <v>176</v>
      </c>
      <c r="E147" s="23"/>
    </row>
    <row r="148" spans="1:5" ht="16" x14ac:dyDescent="0.25">
      <c r="A148" s="13" t="s">
        <v>12</v>
      </c>
      <c r="B148" s="13" t="s">
        <v>8</v>
      </c>
      <c r="C148" s="14">
        <v>-0.20139890299999999</v>
      </c>
      <c r="D148" s="19" t="s">
        <v>177</v>
      </c>
      <c r="E148" s="23"/>
    </row>
    <row r="149" spans="1:5" ht="16" x14ac:dyDescent="0.25">
      <c r="A149" s="13" t="s">
        <v>17</v>
      </c>
      <c r="B149" s="13" t="s">
        <v>2</v>
      </c>
      <c r="C149" s="14">
        <v>-0.20264354000000001</v>
      </c>
      <c r="D149" s="19" t="s">
        <v>178</v>
      </c>
      <c r="E149" s="23"/>
    </row>
    <row r="150" spans="1:5" ht="16" x14ac:dyDescent="0.25">
      <c r="A150" s="13" t="s">
        <v>17</v>
      </c>
      <c r="B150" s="13" t="s">
        <v>7</v>
      </c>
      <c r="C150" s="14">
        <v>-0.218202389</v>
      </c>
      <c r="D150" s="19" t="s">
        <v>179</v>
      </c>
      <c r="E150" s="23"/>
    </row>
    <row r="151" spans="1:5" ht="16" x14ac:dyDescent="0.25">
      <c r="A151" s="13" t="s">
        <v>16</v>
      </c>
      <c r="B151" s="13" t="s">
        <v>3</v>
      </c>
      <c r="C151" s="14">
        <v>-0.26121279400000003</v>
      </c>
      <c r="D151" s="19" t="s">
        <v>180</v>
      </c>
      <c r="E151" s="23"/>
    </row>
    <row r="152" spans="1:5" ht="16" x14ac:dyDescent="0.25">
      <c r="A152" s="16" t="s">
        <v>11</v>
      </c>
      <c r="B152" s="16" t="s">
        <v>8</v>
      </c>
      <c r="C152" s="17">
        <v>-0.28226450400000003</v>
      </c>
      <c r="D152" s="19" t="s">
        <v>181</v>
      </c>
      <c r="E152" s="23"/>
    </row>
    <row r="153" spans="1:5" ht="16" x14ac:dyDescent="0.25">
      <c r="A153" s="16" t="s">
        <v>16</v>
      </c>
      <c r="B153" s="16" t="s">
        <v>1</v>
      </c>
      <c r="C153" s="17">
        <v>-0.32612304600000003</v>
      </c>
      <c r="D153" s="19" t="s">
        <v>182</v>
      </c>
      <c r="E153" s="23"/>
    </row>
    <row r="154" spans="1:5" ht="16" x14ac:dyDescent="0.25">
      <c r="A154" s="16" t="s">
        <v>16</v>
      </c>
      <c r="B154" s="16" t="s">
        <v>2</v>
      </c>
      <c r="C154" s="17">
        <v>-0.33603715099999998</v>
      </c>
      <c r="D154" s="19" t="s">
        <v>183</v>
      </c>
      <c r="E154" s="23"/>
    </row>
    <row r="155" spans="1:5" ht="16" x14ac:dyDescent="0.25">
      <c r="A155" s="16" t="s">
        <v>17</v>
      </c>
      <c r="B155" s="16" t="s">
        <v>16</v>
      </c>
      <c r="C155" s="17">
        <v>-0.339729583</v>
      </c>
      <c r="D155" s="19" t="s">
        <v>184</v>
      </c>
      <c r="E155" s="23"/>
    </row>
    <row r="156" spans="1:5" ht="16" x14ac:dyDescent="0.25">
      <c r="A156" s="16" t="s">
        <v>17</v>
      </c>
      <c r="B156" s="16" t="s">
        <v>3</v>
      </c>
      <c r="C156" s="17">
        <v>-0.39301572099999998</v>
      </c>
      <c r="D156" s="19" t="s">
        <v>185</v>
      </c>
      <c r="E156" s="23"/>
    </row>
    <row r="157" spans="1:5" ht="16" x14ac:dyDescent="0.25">
      <c r="A157" s="13" t="s">
        <v>16</v>
      </c>
      <c r="B157" s="13" t="s">
        <v>13</v>
      </c>
      <c r="C157" s="14">
        <v>-0.40822434200000002</v>
      </c>
      <c r="D157" s="19" t="s">
        <v>186</v>
      </c>
      <c r="E157" s="23"/>
    </row>
    <row r="158" spans="1:5" ht="16" x14ac:dyDescent="0.25">
      <c r="A158" s="13" t="s">
        <v>17</v>
      </c>
      <c r="B158" s="13" t="s">
        <v>6</v>
      </c>
      <c r="C158" s="14">
        <v>-0.41786233099999998</v>
      </c>
      <c r="D158" s="19" t="s">
        <v>187</v>
      </c>
      <c r="E158" s="23"/>
    </row>
    <row r="159" spans="1:5" ht="16" x14ac:dyDescent="0.25">
      <c r="A159" s="16" t="s">
        <v>16</v>
      </c>
      <c r="B159" s="16" t="s">
        <v>7</v>
      </c>
      <c r="C159" s="17">
        <v>-0.42854584800000001</v>
      </c>
      <c r="D159" s="19" t="s">
        <v>188</v>
      </c>
      <c r="E159" s="23"/>
    </row>
    <row r="160" spans="1:5" ht="16" x14ac:dyDescent="0.25">
      <c r="A160" s="16" t="s">
        <v>16</v>
      </c>
      <c r="B160" s="16" t="s">
        <v>6</v>
      </c>
      <c r="C160" s="17">
        <v>-0.447612022</v>
      </c>
      <c r="D160" s="19" t="s">
        <v>189</v>
      </c>
      <c r="E160" s="23"/>
    </row>
    <row r="161" spans="1:5" ht="16" x14ac:dyDescent="0.25">
      <c r="A161" s="13" t="s">
        <v>16</v>
      </c>
      <c r="B161" s="13" t="s">
        <v>5</v>
      </c>
      <c r="C161" s="14">
        <v>-0.46600868699999998</v>
      </c>
      <c r="D161" s="19" t="s">
        <v>190</v>
      </c>
      <c r="E161" s="23"/>
    </row>
    <row r="162" spans="1:5" ht="16" x14ac:dyDescent="0.25">
      <c r="A162" s="16" t="s">
        <v>17</v>
      </c>
      <c r="B162" s="16" t="s">
        <v>12</v>
      </c>
      <c r="C162" s="17">
        <v>-0.48709780000000003</v>
      </c>
      <c r="D162" s="19" t="s">
        <v>191</v>
      </c>
      <c r="E162" s="23"/>
    </row>
    <row r="163" spans="1:5" ht="16" x14ac:dyDescent="0.25">
      <c r="A163" s="16" t="s">
        <v>19</v>
      </c>
      <c r="B163" s="16" t="s">
        <v>17</v>
      </c>
      <c r="C163" s="17">
        <v>-0.52533537799999996</v>
      </c>
      <c r="D163" s="19" t="s">
        <v>192</v>
      </c>
      <c r="E163" s="23"/>
    </row>
    <row r="164" spans="1:5" ht="16" x14ac:dyDescent="0.25">
      <c r="A164" s="13" t="s">
        <v>16</v>
      </c>
      <c r="B164" s="13" t="s">
        <v>9</v>
      </c>
      <c r="C164" s="14">
        <v>-0.53312208100000003</v>
      </c>
      <c r="D164" s="19" t="s">
        <v>193</v>
      </c>
      <c r="E164" s="23"/>
    </row>
    <row r="165" spans="1:5" ht="16" x14ac:dyDescent="0.25">
      <c r="A165" s="13" t="s">
        <v>17</v>
      </c>
      <c r="B165" s="13" t="s">
        <v>11</v>
      </c>
      <c r="C165" s="14">
        <v>-0.53378551500000004</v>
      </c>
      <c r="D165" s="19" t="s">
        <v>194</v>
      </c>
      <c r="E165" s="23"/>
    </row>
    <row r="166" spans="1:5" ht="16" x14ac:dyDescent="0.25">
      <c r="A166" s="13" t="s">
        <v>17</v>
      </c>
      <c r="B166" s="13" t="s">
        <v>10</v>
      </c>
      <c r="C166" s="14">
        <v>-0.54677941699999999</v>
      </c>
      <c r="D166" s="19" t="s">
        <v>195</v>
      </c>
      <c r="E166" s="23"/>
    </row>
    <row r="167" spans="1:5" ht="16" x14ac:dyDescent="0.25">
      <c r="A167" s="13" t="s">
        <v>18</v>
      </c>
      <c r="B167" s="13" t="s">
        <v>17</v>
      </c>
      <c r="C167" s="14">
        <v>-0.55144424599999997</v>
      </c>
      <c r="D167" s="19" t="s">
        <v>196</v>
      </c>
      <c r="E167" s="23"/>
    </row>
    <row r="168" spans="1:5" ht="16" x14ac:dyDescent="0.25">
      <c r="A168" s="16" t="s">
        <v>16</v>
      </c>
      <c r="B168" s="16" t="s">
        <v>15</v>
      </c>
      <c r="C168" s="17">
        <v>-0.56066499800000003</v>
      </c>
      <c r="D168" s="19" t="s">
        <v>197</v>
      </c>
      <c r="E168" s="23"/>
    </row>
    <row r="169" spans="1:5" ht="16" x14ac:dyDescent="0.25">
      <c r="A169" s="13" t="s">
        <v>17</v>
      </c>
      <c r="B169" s="13" t="s">
        <v>1</v>
      </c>
      <c r="C169" s="14">
        <v>-0.56867321100000001</v>
      </c>
      <c r="D169" s="19" t="s">
        <v>198</v>
      </c>
      <c r="E169" s="23"/>
    </row>
    <row r="170" spans="1:5" ht="16" x14ac:dyDescent="0.25">
      <c r="A170" s="16" t="s">
        <v>16</v>
      </c>
      <c r="B170" s="16" t="s">
        <v>14</v>
      </c>
      <c r="C170" s="17">
        <v>-0.57087790800000004</v>
      </c>
      <c r="D170" s="19" t="s">
        <v>199</v>
      </c>
      <c r="E170" s="23"/>
    </row>
    <row r="171" spans="1:5" ht="16" x14ac:dyDescent="0.25">
      <c r="A171" s="13" t="s">
        <v>16</v>
      </c>
      <c r="B171" s="13" t="s">
        <v>8</v>
      </c>
      <c r="C171" s="14">
        <v>-0.57601878200000001</v>
      </c>
      <c r="D171" s="19" t="s">
        <v>200</v>
      </c>
      <c r="E171" s="23"/>
    </row>
    <row r="172" spans="1:5" ht="16" x14ac:dyDescent="0.25">
      <c r="A172" s="16" t="s">
        <v>17</v>
      </c>
      <c r="B172" s="16" t="s">
        <v>4</v>
      </c>
      <c r="C172" s="17">
        <v>-0.64237169100000002</v>
      </c>
      <c r="D172" s="19" t="s">
        <v>201</v>
      </c>
      <c r="E172" s="23"/>
    </row>
  </sheetData>
  <conditionalFormatting sqref="C1:C1048576">
    <cfRule type="colorScale" priority="1">
      <colorScale>
        <cfvo type="num" val="-1"/>
        <cfvo type="num" val="0"/>
        <cfvo type="num" val="1"/>
        <color rgb="FF00B0F0"/>
        <color theme="0"/>
        <color rgb="FF92D050"/>
      </colorScale>
    </cfRule>
  </conditionalFormatting>
  <dataValidations count="1">
    <dataValidation type="list" allowBlank="1" showInputMessage="1" showErrorMessage="1" sqref="F2" xr:uid="{52F911A1-1FE7-834F-9531-75C57B732A25}">
      <formula1>$D$2:$D$172</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A6343-E310-7D46-8C50-A3958D06A924}">
  <sheetPr filterMode="1"/>
  <dimension ref="A1:J31"/>
  <sheetViews>
    <sheetView tabSelected="1" zoomScale="50" zoomScaleNormal="125" workbookViewId="0">
      <selection activeCell="A29" sqref="A29"/>
    </sheetView>
  </sheetViews>
  <sheetFormatPr baseColWidth="10" defaultRowHeight="15" x14ac:dyDescent="0.2"/>
  <cols>
    <col min="1" max="1" width="72.5" bestFit="1" customWidth="1"/>
    <col min="2" max="2" width="71.5" bestFit="1" customWidth="1"/>
    <col min="3" max="3" width="62.83203125" bestFit="1" customWidth="1"/>
    <col min="4" max="4" width="66.33203125" bestFit="1" customWidth="1"/>
    <col min="5" max="5" width="72" bestFit="1" customWidth="1"/>
    <col min="6" max="6" width="74.6640625" bestFit="1" customWidth="1"/>
    <col min="7" max="7" width="74.1640625" bestFit="1" customWidth="1"/>
    <col min="8" max="8" width="60.33203125" bestFit="1" customWidth="1"/>
    <col min="9" max="9" width="20.1640625" bestFit="1" customWidth="1"/>
    <col min="10" max="10" width="31.1640625" bestFit="1" customWidth="1"/>
  </cols>
  <sheetData>
    <row r="1" spans="1:8" x14ac:dyDescent="0.2">
      <c r="A1" t="s">
        <v>202</v>
      </c>
    </row>
    <row r="2" spans="1:8" x14ac:dyDescent="0.2">
      <c r="A2" s="9" t="s">
        <v>23</v>
      </c>
      <c r="B2" s="9" t="s">
        <v>3</v>
      </c>
      <c r="C2" s="9"/>
      <c r="D2" s="9"/>
      <c r="E2" s="9"/>
      <c r="F2" s="9"/>
      <c r="G2" s="9"/>
      <c r="H2" s="9"/>
    </row>
    <row r="3" spans="1:8" x14ac:dyDescent="0.2">
      <c r="A3" s="8" t="s">
        <v>1</v>
      </c>
      <c r="B3" s="4">
        <v>0.74209372900000004</v>
      </c>
    </row>
    <row r="4" spans="1:8" x14ac:dyDescent="0.2">
      <c r="A4" s="8" t="s">
        <v>6</v>
      </c>
      <c r="B4" s="4">
        <v>0.74131938500000005</v>
      </c>
    </row>
    <row r="5" spans="1:8" x14ac:dyDescent="0.2">
      <c r="A5" s="8" t="s">
        <v>4</v>
      </c>
      <c r="B5" s="4">
        <v>0.69592891099999998</v>
      </c>
    </row>
    <row r="6" spans="1:8" x14ac:dyDescent="0.2">
      <c r="A6" s="8" t="s">
        <v>2</v>
      </c>
      <c r="B6" s="4">
        <v>0.645275559</v>
      </c>
    </row>
    <row r="7" spans="1:8" x14ac:dyDescent="0.2">
      <c r="A7" s="8" t="s">
        <v>7</v>
      </c>
      <c r="B7" s="4">
        <v>0.64081364299999999</v>
      </c>
    </row>
    <row r="8" spans="1:8" x14ac:dyDescent="0.2">
      <c r="A8" s="8" t="s">
        <v>5</v>
      </c>
      <c r="B8" s="4">
        <v>0.61616607000000001</v>
      </c>
    </row>
    <row r="11" spans="1:8" x14ac:dyDescent="0.2">
      <c r="A11" s="7" t="s">
        <v>25</v>
      </c>
      <c r="B11" s="7" t="s">
        <v>24</v>
      </c>
    </row>
    <row r="12" spans="1:8" x14ac:dyDescent="0.2">
      <c r="A12" s="7" t="s">
        <v>23</v>
      </c>
      <c r="B12" t="s">
        <v>203</v>
      </c>
      <c r="C12" t="s">
        <v>7</v>
      </c>
      <c r="D12" t="s">
        <v>5</v>
      </c>
      <c r="E12" t="s">
        <v>2</v>
      </c>
      <c r="F12" t="s">
        <v>1</v>
      </c>
      <c r="G12" t="s">
        <v>4</v>
      </c>
      <c r="H12" t="s">
        <v>3</v>
      </c>
    </row>
    <row r="13" spans="1:8" x14ac:dyDescent="0.2">
      <c r="A13" s="8" t="s">
        <v>6</v>
      </c>
      <c r="B13" s="4">
        <v>1</v>
      </c>
      <c r="C13" s="4">
        <v>0.93047618200000004</v>
      </c>
      <c r="D13" s="4">
        <v>0.93066506400000004</v>
      </c>
      <c r="E13" s="4">
        <v>0.87802830899999995</v>
      </c>
      <c r="F13" s="4">
        <v>0.84187201899999997</v>
      </c>
      <c r="G13" s="4">
        <v>0.70256608399999998</v>
      </c>
      <c r="H13" s="4">
        <v>0.74131938500000005</v>
      </c>
    </row>
    <row r="14" spans="1:8" x14ac:dyDescent="0.2">
      <c r="A14" s="8" t="s">
        <v>7</v>
      </c>
      <c r="B14" s="4">
        <v>0.93047618200000004</v>
      </c>
      <c r="C14" s="4">
        <v>1</v>
      </c>
      <c r="D14" s="4">
        <v>0.995818341</v>
      </c>
      <c r="E14" s="4">
        <v>0.96152926800000005</v>
      </c>
      <c r="F14" s="4">
        <v>0.68493674400000004</v>
      </c>
      <c r="G14" s="4">
        <v>0.55307086599999999</v>
      </c>
      <c r="H14" s="4">
        <v>0.64081364299999999</v>
      </c>
    </row>
    <row r="15" spans="1:8" x14ac:dyDescent="0.2">
      <c r="A15" s="8" t="s">
        <v>5</v>
      </c>
      <c r="B15" s="4">
        <v>0.93066506400000004</v>
      </c>
      <c r="C15" s="4">
        <v>0.995818341</v>
      </c>
      <c r="D15" s="4">
        <v>1</v>
      </c>
      <c r="E15" s="4">
        <v>0.94561400900000003</v>
      </c>
      <c r="F15" s="4">
        <v>0.67207541900000001</v>
      </c>
      <c r="G15" s="4">
        <v>0.53831151499999996</v>
      </c>
      <c r="H15" s="4">
        <v>0.61616607000000001</v>
      </c>
    </row>
    <row r="16" spans="1:8" x14ac:dyDescent="0.2">
      <c r="A16" s="8" t="s">
        <v>2</v>
      </c>
      <c r="B16" s="4">
        <v>0.87802830899999995</v>
      </c>
      <c r="C16" s="4">
        <v>0.96152926800000005</v>
      </c>
      <c r="D16" s="4">
        <v>0.94561400900000003</v>
      </c>
      <c r="E16" s="4">
        <v>1</v>
      </c>
      <c r="F16" s="4">
        <v>0.67096561300000002</v>
      </c>
      <c r="G16" s="4">
        <v>0.54656646799999997</v>
      </c>
      <c r="H16" s="4">
        <v>0.645275559</v>
      </c>
    </row>
    <row r="17" spans="1:10" x14ac:dyDescent="0.2">
      <c r="A17" s="8" t="s">
        <v>1</v>
      </c>
      <c r="B17" s="4">
        <v>0.84187201899999997</v>
      </c>
      <c r="C17" s="4">
        <v>0.68493674400000004</v>
      </c>
      <c r="D17" s="4">
        <v>0.67207541900000001</v>
      </c>
      <c r="E17" s="4">
        <v>0.67096561300000002</v>
      </c>
      <c r="F17" s="4">
        <v>1</v>
      </c>
      <c r="G17" s="4">
        <v>0.80561452899999997</v>
      </c>
      <c r="H17" s="4">
        <v>0.74209372900000004</v>
      </c>
    </row>
    <row r="18" spans="1:10" x14ac:dyDescent="0.2">
      <c r="A18" s="8" t="s">
        <v>4</v>
      </c>
      <c r="B18" s="4">
        <v>0.70256608399999998</v>
      </c>
      <c r="C18" s="4">
        <v>0.55307086599999999</v>
      </c>
      <c r="D18" s="4">
        <v>0.53831151499999996</v>
      </c>
      <c r="E18" s="4">
        <v>0.54656646799999997</v>
      </c>
      <c r="F18" s="4">
        <v>0.80561452899999997</v>
      </c>
      <c r="G18" s="4">
        <v>1</v>
      </c>
      <c r="H18" s="4">
        <v>0.69592891099999998</v>
      </c>
    </row>
    <row r="19" spans="1:10" x14ac:dyDescent="0.2">
      <c r="A19" s="8" t="s">
        <v>3</v>
      </c>
      <c r="B19" s="4">
        <v>0.74131938500000005</v>
      </c>
      <c r="C19" s="4">
        <v>0.64081364299999999</v>
      </c>
      <c r="D19" s="4">
        <v>0.61616607000000001</v>
      </c>
      <c r="E19" s="4">
        <v>0.645275559</v>
      </c>
      <c r="F19" s="4">
        <v>0.74209372900000004</v>
      </c>
      <c r="G19" s="4">
        <v>0.69592891099999998</v>
      </c>
      <c r="H19" s="25"/>
    </row>
    <row r="21" spans="1:10" x14ac:dyDescent="0.2">
      <c r="A21" s="8" t="s">
        <v>204</v>
      </c>
    </row>
    <row r="22" spans="1:10" x14ac:dyDescent="0.2">
      <c r="A22" s="26" t="s">
        <v>23</v>
      </c>
      <c r="B22" s="26" t="s">
        <v>203</v>
      </c>
      <c r="C22" s="26" t="s">
        <v>7</v>
      </c>
      <c r="D22" s="26" t="s">
        <v>5</v>
      </c>
      <c r="E22" s="26" t="s">
        <v>2</v>
      </c>
      <c r="F22" s="26" t="s">
        <v>1</v>
      </c>
      <c r="G22" s="26" t="s">
        <v>4</v>
      </c>
      <c r="H22" s="26" t="s">
        <v>3</v>
      </c>
      <c r="I22" s="26" t="s">
        <v>205</v>
      </c>
      <c r="J22" s="29" t="s">
        <v>206</v>
      </c>
    </row>
    <row r="23" spans="1:10" x14ac:dyDescent="0.2">
      <c r="A23" s="8" t="s">
        <v>7</v>
      </c>
      <c r="B23" s="28" t="str">
        <f>IF(ABS(B13) &gt; 0.95, "High", "Low")</f>
        <v>High</v>
      </c>
      <c r="C23" s="28" t="str">
        <f>IF(ABS(C13) &gt; 0.95, "High", "Low")</f>
        <v>Low</v>
      </c>
      <c r="D23" s="28" t="str">
        <f>IF(ABS(D13) &gt; 0.95, "High", "Low")</f>
        <v>Low</v>
      </c>
      <c r="E23" s="28" t="str">
        <f>IF(ABS(E13) &gt; 0.95, "High", "Low")</f>
        <v>Low</v>
      </c>
      <c r="F23" s="28" t="str">
        <f>IF(ABS(F13) &gt; 0.95, "High", "Low")</f>
        <v>Low</v>
      </c>
      <c r="G23" s="28" t="str">
        <f>IF(ABS(G13) &gt; 0.95, "High", "Low")</f>
        <v>Low</v>
      </c>
      <c r="H23" s="28" t="str">
        <f>IF(ABS(H13) &gt; 0.95, "High", "Low")</f>
        <v>Low</v>
      </c>
      <c r="I23" s="30">
        <f>COUNTIF(B23:H23, "High")</f>
        <v>1</v>
      </c>
      <c r="J23" s="28" t="str">
        <f>IF(I23=MAX($I$23:$I$29), "Drop", "Keep")</f>
        <v>Keep</v>
      </c>
    </row>
    <row r="24" spans="1:10" hidden="1" x14ac:dyDescent="0.2">
      <c r="A24" s="8" t="s">
        <v>6</v>
      </c>
      <c r="B24" s="28" t="str">
        <f>IF(ABS(B14) &gt; 0.95, "High", "Low")</f>
        <v>Low</v>
      </c>
      <c r="C24" s="28" t="str">
        <f>IF(ABS(C14) &gt; 0.95, "High", "Low")</f>
        <v>High</v>
      </c>
      <c r="D24" s="28" t="str">
        <f>IF(ABS(D14) &gt; 0.95, "High", "Low")</f>
        <v>High</v>
      </c>
      <c r="E24" s="28" t="str">
        <f>IF(ABS(E14) &gt; 0.95, "High", "Low")</f>
        <v>High</v>
      </c>
      <c r="F24" s="28" t="str">
        <f>IF(ABS(F14) &gt; 0.95, "High", "Low")</f>
        <v>Low</v>
      </c>
      <c r="G24" s="28" t="str">
        <f>IF(ABS(G14) &gt; 0.95, "High", "Low")</f>
        <v>Low</v>
      </c>
      <c r="H24" s="28" t="str">
        <f>IF(ABS(H14) &gt; 0.95, "High", "Low")</f>
        <v>Low</v>
      </c>
      <c r="I24" s="30">
        <f>COUNTIF(B24:H24, "High")</f>
        <v>3</v>
      </c>
      <c r="J24" s="28" t="str">
        <f t="shared" ref="J24:J29" si="0">IF(I24=MAX($I$23:$I$29), "Drop", "Keep")</f>
        <v>Drop</v>
      </c>
    </row>
    <row r="25" spans="1:10" x14ac:dyDescent="0.2">
      <c r="A25" s="8" t="s">
        <v>5</v>
      </c>
      <c r="B25" s="28" t="str">
        <f>IF(ABS(B15) &gt; 0.95, "High", "Low")</f>
        <v>Low</v>
      </c>
      <c r="C25" s="28" t="str">
        <f>IF(ABS(C15) &gt; 0.95, "High", "Low")</f>
        <v>High</v>
      </c>
      <c r="D25" s="28" t="str">
        <f>IF(ABS(D15) &gt; 0.95, "High", "Low")</f>
        <v>High</v>
      </c>
      <c r="E25" s="28" t="str">
        <f>IF(ABS(E15) &gt; 0.95, "High", "Low")</f>
        <v>Low</v>
      </c>
      <c r="F25" s="28" t="str">
        <f>IF(ABS(F15) &gt; 0.95, "High", "Low")</f>
        <v>Low</v>
      </c>
      <c r="G25" s="28" t="str">
        <f>IF(ABS(G15) &gt; 0.95, "High", "Low")</f>
        <v>Low</v>
      </c>
      <c r="H25" s="28" t="str">
        <f>IF(ABS(H15) &gt; 0.95, "High", "Low")</f>
        <v>Low</v>
      </c>
      <c r="I25" s="30">
        <f>COUNTIF(B25:H25, "High")</f>
        <v>2</v>
      </c>
      <c r="J25" s="28" t="str">
        <f t="shared" si="0"/>
        <v>Keep</v>
      </c>
    </row>
    <row r="26" spans="1:10" x14ac:dyDescent="0.2">
      <c r="A26" s="8" t="s">
        <v>4</v>
      </c>
      <c r="B26" s="28" t="str">
        <f>IF(ABS(B16) &gt; 0.95, "High", "Low")</f>
        <v>Low</v>
      </c>
      <c r="C26" s="28" t="str">
        <f>IF(ABS(C16) &gt; 0.95, "High", "Low")</f>
        <v>High</v>
      </c>
      <c r="D26" s="28" t="str">
        <f>IF(ABS(D16) &gt; 0.95, "High", "Low")</f>
        <v>Low</v>
      </c>
      <c r="E26" s="28" t="str">
        <f>IF(ABS(E16) &gt; 0.95, "High", "Low")</f>
        <v>High</v>
      </c>
      <c r="F26" s="28" t="str">
        <f>IF(ABS(F16) &gt; 0.95, "High", "Low")</f>
        <v>Low</v>
      </c>
      <c r="G26" s="28" t="str">
        <f>IF(ABS(G16) &gt; 0.95, "High", "Low")</f>
        <v>Low</v>
      </c>
      <c r="H26" s="28" t="str">
        <f>IF(ABS(H16) &gt; 0.95, "High", "Low")</f>
        <v>Low</v>
      </c>
      <c r="I26" s="30">
        <f>COUNTIF(B26:H26, "High")</f>
        <v>2</v>
      </c>
      <c r="J26" s="28" t="str">
        <f t="shared" si="0"/>
        <v>Keep</v>
      </c>
    </row>
    <row r="27" spans="1:10" x14ac:dyDescent="0.2">
      <c r="A27" s="8" t="s">
        <v>3</v>
      </c>
      <c r="B27" s="28" t="str">
        <f>IF(ABS(B17) &gt; 0.95, "High", "Low")</f>
        <v>Low</v>
      </c>
      <c r="C27" s="28" t="str">
        <f>IF(ABS(C17) &gt; 0.95, "High", "Low")</f>
        <v>Low</v>
      </c>
      <c r="D27" s="28" t="str">
        <f>IF(ABS(D17) &gt; 0.95, "High", "Low")</f>
        <v>Low</v>
      </c>
      <c r="E27" s="28" t="str">
        <f>IF(ABS(E17) &gt; 0.95, "High", "Low")</f>
        <v>Low</v>
      </c>
      <c r="F27" s="28" t="str">
        <f>IF(ABS(F17) &gt; 0.95, "High", "Low")</f>
        <v>High</v>
      </c>
      <c r="G27" s="28" t="str">
        <f>IF(ABS(G17) &gt; 0.95, "High", "Low")</f>
        <v>Low</v>
      </c>
      <c r="H27" s="28" t="str">
        <f>IF(ABS(H17) &gt; 0.95, "High", "Low")</f>
        <v>Low</v>
      </c>
      <c r="I27" s="30">
        <f>COUNTIF(B27:H27, "High")</f>
        <v>1</v>
      </c>
      <c r="J27" s="28" t="str">
        <f t="shared" si="0"/>
        <v>Keep</v>
      </c>
    </row>
    <row r="28" spans="1:10" x14ac:dyDescent="0.2">
      <c r="A28" s="8" t="s">
        <v>2</v>
      </c>
      <c r="B28" s="28" t="str">
        <f>IF(ABS(B18) &gt; 0.95, "High", "Low")</f>
        <v>Low</v>
      </c>
      <c r="C28" s="28" t="str">
        <f>IF(ABS(C18) &gt; 0.95, "High", "Low")</f>
        <v>Low</v>
      </c>
      <c r="D28" s="28" t="str">
        <f>IF(ABS(D18) &gt; 0.95, "High", "Low")</f>
        <v>Low</v>
      </c>
      <c r="E28" s="28" t="str">
        <f>IF(ABS(E18) &gt; 0.95, "High", "Low")</f>
        <v>Low</v>
      </c>
      <c r="F28" s="28" t="str">
        <f>IF(ABS(F18) &gt; 0.95, "High", "Low")</f>
        <v>Low</v>
      </c>
      <c r="G28" s="28" t="str">
        <f>IF(ABS(G18) &gt; 0.95, "High", "Low")</f>
        <v>High</v>
      </c>
      <c r="H28" s="28" t="str">
        <f>IF(ABS(H18) &gt; 0.95, "High", "Low")</f>
        <v>Low</v>
      </c>
      <c r="I28" s="30">
        <f>COUNTIF(B28:H28, "High")</f>
        <v>1</v>
      </c>
      <c r="J28" s="28" t="str">
        <f t="shared" si="0"/>
        <v>Keep</v>
      </c>
    </row>
    <row r="29" spans="1:10" x14ac:dyDescent="0.2">
      <c r="A29" s="8" t="s">
        <v>1</v>
      </c>
      <c r="B29" s="28" t="str">
        <f>IF(ABS(B19) &gt; 0.95, "High", "Low")</f>
        <v>Low</v>
      </c>
      <c r="C29" s="28" t="str">
        <f>IF(ABS(C19) &gt; 0.95, "High", "Low")</f>
        <v>Low</v>
      </c>
      <c r="D29" s="28" t="str">
        <f>IF(ABS(D19) &gt; 0.95, "High", "Low")</f>
        <v>Low</v>
      </c>
      <c r="E29" s="28" t="str">
        <f>IF(ABS(E19) &gt; 0.95, "High", "Low")</f>
        <v>Low</v>
      </c>
      <c r="F29" s="28" t="str">
        <f>IF(ABS(F19) &gt; 0.95, "High", "Low")</f>
        <v>Low</v>
      </c>
      <c r="G29" s="28" t="str">
        <f>IF(ABS(G19) &gt; 0.95, "High", "Low")</f>
        <v>Low</v>
      </c>
      <c r="H29" s="28" t="str">
        <f>IF(ABS(H19) &gt; 0.95, "High", "Low")</f>
        <v>Low</v>
      </c>
      <c r="I29" s="30">
        <f>COUNTIF(B29:H29, "High")</f>
        <v>0</v>
      </c>
      <c r="J29" s="28" t="str">
        <f t="shared" si="0"/>
        <v>Keep</v>
      </c>
    </row>
    <row r="30" spans="1:10" x14ac:dyDescent="0.2">
      <c r="B30" s="27"/>
      <c r="C30" s="27"/>
      <c r="D30" s="27"/>
      <c r="E30" s="27"/>
      <c r="F30" s="27"/>
      <c r="G30" s="27"/>
      <c r="H30" s="27"/>
    </row>
    <row r="31" spans="1:10" x14ac:dyDescent="0.2">
      <c r="B31" s="27"/>
      <c r="C31" s="27"/>
      <c r="D31" s="27"/>
      <c r="E31" s="27"/>
      <c r="F31" s="27"/>
      <c r="G31" s="27"/>
      <c r="H31" s="27"/>
    </row>
  </sheetData>
  <autoFilter ref="A22:J29" xr:uid="{306A6343-E310-7D46-8C50-A3958D06A924}">
    <filterColumn colId="9">
      <filters>
        <filter val="Keep"/>
      </filters>
    </filterColumn>
  </autoFilter>
  <sortState xmlns:xlrd2="http://schemas.microsoft.com/office/spreadsheetml/2017/richdata2" ref="A23:I30">
    <sortCondition descending="1" ref="I23:I30"/>
  </sortState>
  <conditionalFormatting sqref="B3:B8">
    <cfRule type="colorScale" priority="10">
      <colorScale>
        <cfvo type="min"/>
        <cfvo type="percentile" val="50"/>
        <cfvo type="max"/>
        <color rgb="FFF8696B"/>
        <color rgb="FFFFEB84"/>
        <color rgb="FF63BE7B"/>
      </colorScale>
    </cfRule>
  </conditionalFormatting>
  <conditionalFormatting sqref="B3:B8">
    <cfRule type="colorScale" priority="9">
      <colorScale>
        <cfvo type="num" val="-1"/>
        <cfvo type="num" val="0"/>
        <cfvo type="num" val="1"/>
        <color rgb="FF00B0F0"/>
        <color theme="0"/>
        <color rgb="FF00B050"/>
      </colorScale>
    </cfRule>
  </conditionalFormatting>
  <conditionalFormatting pivot="1" sqref="B13:H19">
    <cfRule type="colorScale" priority="8">
      <colorScale>
        <cfvo type="min"/>
        <cfvo type="percentile" val="50"/>
        <cfvo type="max"/>
        <color rgb="FFF8696B"/>
        <color rgb="FFFFEB84"/>
        <color rgb="FF63BE7B"/>
      </colorScale>
    </cfRule>
  </conditionalFormatting>
  <conditionalFormatting pivot="1" sqref="B13:H19">
    <cfRule type="colorScale" priority="7">
      <colorScale>
        <cfvo type="num" val="-1"/>
        <cfvo type="num" val="0"/>
        <cfvo type="num" val="1"/>
        <color rgb="FF00B0F0"/>
        <color theme="0"/>
        <color rgb="FF00B050"/>
      </colorScale>
    </cfRule>
  </conditionalFormatting>
  <conditionalFormatting sqref="B23:H29 J23:J29">
    <cfRule type="expression" dxfId="3" priority="2">
      <formula>$B24="High"</formula>
    </cfRule>
    <cfRule type="colorScale" priority="5">
      <colorScale>
        <cfvo type="min"/>
        <cfvo type="percentile" val="50"/>
        <cfvo type="max"/>
        <color rgb="FFF8696B"/>
        <color rgb="FFFFEB84"/>
        <color rgb="FF63BE7B"/>
      </colorScale>
    </cfRule>
  </conditionalFormatting>
  <conditionalFormatting sqref="B23:G29 J23:J29">
    <cfRule type="colorScale" priority="3">
      <colorScale>
        <cfvo type="num" val="&quot;High&quot;"/>
        <cfvo type="num" val="&quot;Low&quot;"/>
        <color rgb="FFFF7128"/>
        <color rgb="FF00B050"/>
      </colorScale>
    </cfRule>
    <cfRule type="colorScale" priority="4">
      <colorScale>
        <cfvo type="num" val="&quot;High&quot;"/>
        <cfvo type="num" val="&quot;Low&quot;"/>
        <color rgb="FFFFC000"/>
        <color rgb="FF00B050"/>
      </colorScale>
    </cfRule>
  </conditionalFormatting>
  <conditionalFormatting sqref="D24:D29">
    <cfRule type="expression" dxfId="2" priority="1">
      <formula>"$D24=""High"""</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46E6508-FD10-D74B-8A98-4D479DA1A09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Charts</vt:lpstr>
      </vt:variant>
      <vt:variant>
        <vt:i4>1</vt:i4>
      </vt:variant>
    </vt:vector>
  </HeadingPairs>
  <TitlesOfParts>
    <vt:vector size="10" baseType="lpstr">
      <vt:lpstr>raw data</vt:lpstr>
      <vt:lpstr>correlation matrix</vt:lpstr>
      <vt:lpstr>filled cm</vt:lpstr>
      <vt:lpstr>heatmap</vt:lpstr>
      <vt:lpstr>unique correlations</vt:lpstr>
      <vt:lpstr>pt heatmap</vt:lpstr>
      <vt:lpstr>for chart3</vt:lpstr>
      <vt:lpstr>XLOOKUP</vt:lpstr>
      <vt:lpstr>Sheet16</vt:lpstr>
      <vt:lpstr>Chart3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katebanner</dc:creator>
  <cp:lastModifiedBy>Banner,K (ug)</cp:lastModifiedBy>
  <dcterms:created xsi:type="dcterms:W3CDTF">2025-02-23T13:55:21Z</dcterms:created>
  <dcterms:modified xsi:type="dcterms:W3CDTF">2025-02-25T09:31:31Z</dcterms:modified>
</cp:coreProperties>
</file>